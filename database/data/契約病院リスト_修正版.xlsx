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defaultThemeVersion="202300"/>
  <mc:AlternateContent xmlns:mc="http://schemas.openxmlformats.org/markup-compatibility/2006">
    <mc:Choice Requires="x15">
      <x15ac:absPath xmlns:x15ac="http://schemas.microsoft.com/office/spreadsheetml/2010/11/ac" url="https://d.docs.live.net/3bf6f66e55eee35e/ドキュメント/2026年/ライセンス/"/>
    </mc:Choice>
  </mc:AlternateContent>
  <xr:revisionPtr revIDLastSave="18" documentId="8_{98FBDE5D-2E60-4AB0-876B-F86D2DA5B01E}" xr6:coauthVersionLast="47" xr6:coauthVersionMax="47" xr10:uidLastSave="{D76369D5-A7F9-48DA-8AA7-7B2119A476E6}"/>
  <bookViews>
    <workbookView xWindow="-110" yWindow="-110" windowWidth="19420" windowHeight="11500" xr2:uid="{BEB93501-79EC-4E8B-820C-B9BD948136EF}"/>
  </bookViews>
  <sheets>
    <sheet name="契約病院リスト" sheetId="1" r:id="rId1"/>
    <sheet name="手打ち請求書フォーマット" sheetId="3" r:id="rId2"/>
    <sheet name="元データ" sheetId="2" state="hidden" r:id="rId3"/>
  </sheets>
  <externalReferences>
    <externalReference r:id="rId4"/>
  </externalReferences>
  <definedNames>
    <definedName name="_xlnm._FilterDatabase" localSheetId="0" hidden="1">契約病院リスト!$A$2:$AN$209</definedName>
    <definedName name="_xlnm._FilterDatabase" localSheetId="2" hidden="1">元データ!$A$3:$BL$3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34" i="3" l="1"/>
  <c r="A22" i="3"/>
  <c r="H22" i="3"/>
  <c r="A23" i="3"/>
  <c r="H35" i="3" l="1"/>
  <c r="H36" i="3" s="1"/>
  <c r="A16"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Nobuyoshi Abiru</author>
  </authors>
  <commentList>
    <comment ref="B2" authorId="0" shapeId="0" xr:uid="{1AB28EBD-2398-46A9-B69E-9107CEC0211D}">
      <text>
        <r>
          <rPr>
            <sz val="9"/>
            <color indexed="81"/>
            <rFont val="MS P ゴシック"/>
            <family val="3"/>
            <charset val="128"/>
          </rPr>
          <t xml:space="preserve">0:契約中
1:契約終了済
2:未請求先(特別枠)
3:ドクター個人契約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tc={D44FFBC6-8D88-4525-886F-FDD11260A915}</author>
    <author>tc={598F001B-358D-40E2-B3E4-7D31E08184E7}</author>
  </authors>
  <commentList>
    <comment ref="A8" authorId="0" shapeId="0" xr:uid="{D44FFBC6-8D88-4525-886F-FDD11260A915}">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🟥手入力で編集🟥</t>
      </text>
    </comment>
    <comment ref="F22" authorId="1" shapeId="0" xr:uid="{598F001B-358D-40E2-B3E4-7D31E08184E7}">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手打ち</t>
      </text>
    </comment>
  </commentList>
</comments>
</file>

<file path=xl/sharedStrings.xml><?xml version="1.0" encoding="utf-8"?>
<sst xmlns="http://schemas.openxmlformats.org/spreadsheetml/2006/main" count="6502" uniqueCount="3514">
  <si>
    <t>URL</t>
  </si>
  <si>
    <t>フォーム＃</t>
  </si>
  <si>
    <t>契約
リスト
No</t>
  </si>
  <si>
    <t>医院名</t>
  </si>
  <si>
    <t>役職</t>
  </si>
  <si>
    <t>住所</t>
  </si>
  <si>
    <t>クリニックTEL</t>
  </si>
  <si>
    <t>個人TEL</t>
  </si>
  <si>
    <t>メールアドレス</t>
  </si>
  <si>
    <t>資料閲覧用メールアドレス</t>
  </si>
  <si>
    <t>事務手続きご担当者氏名</t>
  </si>
  <si>
    <t>事務手続きご担当者メールアドレス</t>
  </si>
  <si>
    <t>請求書メール</t>
  </si>
  <si>
    <t>契約開始日</t>
  </si>
  <si>
    <t>東京先進整形外科</t>
  </si>
  <si>
    <t>院長</t>
  </si>
  <si>
    <t>東京都</t>
  </si>
  <si>
    <t>https://www.tokyo-senshin.com/</t>
  </si>
  <si>
    <t>042-444-8125</t>
  </si>
  <si>
    <t>t0ru0m0dani@gmail.com</t>
  </si>
  <si>
    <t>ー</t>
  </si>
  <si>
    <t>医療法人社団 筒井整形外科クリニック</t>
  </si>
  <si>
    <t>理事長</t>
  </si>
  <si>
    <t>筒井　聡</t>
  </si>
  <si>
    <t>山口県</t>
  </si>
  <si>
    <t>https://www.tsutsuiseikeigeka-clinic.com/</t>
  </si>
  <si>
    <t>083-263-3838</t>
  </si>
  <si>
    <t>tsu213104@gmail.com</t>
  </si>
  <si>
    <t>医療法人　山口整形外科医院</t>
  </si>
  <si>
    <t>副院長　院長山口重嘉</t>
  </si>
  <si>
    <t>山口　和博</t>
  </si>
  <si>
    <t>長崎県</t>
  </si>
  <si>
    <t>https://yamaguchiseikei-sp.com/</t>
  </si>
  <si>
    <t>095-826-5122</t>
  </si>
  <si>
    <t>kazpec39@icloud.com</t>
  </si>
  <si>
    <t>医療法人社団　谷掛整形外科診療所</t>
  </si>
  <si>
    <t>副院長　理事長谷掛駿介</t>
  </si>
  <si>
    <t>谷掛　洋平</t>
  </si>
  <si>
    <t>奈良県</t>
  </si>
  <si>
    <t>http://tanikake.com/</t>
  </si>
  <si>
    <t>0742-62-7577</t>
  </si>
  <si>
    <t>tanikake61@yahoo.co.jp
nanatakunuts123@gmail.com</t>
  </si>
  <si>
    <t>医療法人社団誠幸会　わだ整形外科クリニック</t>
  </si>
  <si>
    <t>和田　誠</t>
  </si>
  <si>
    <t>大阪府</t>
  </si>
  <si>
    <t>http://wadaseikei.com/index.htm</t>
  </si>
  <si>
    <t>072-857-0515</t>
  </si>
  <si>
    <t>yurigaso-wada@docomo.ne.jp
wadaseikei@gmail.com
wadaseikei@ybb.ne.jp</t>
  </si>
  <si>
    <t>医療法人杏林会　八木病院</t>
  </si>
  <si>
    <t>宮武　和馬</t>
  </si>
  <si>
    <t>神奈川県</t>
  </si>
  <si>
    <t>https://www.kyourinkai-yagi.com/</t>
  </si>
  <si>
    <t>0463-81-1666</t>
  </si>
  <si>
    <t>松浦佑樹様
090-8238-3305
松浦守基子様
090-3863-1345　</t>
  </si>
  <si>
    <t>請求契約：松浦佑樹様　ukukapr28@gmail.com
宮武先生　38kazuma@gmail.com　
松浦守基子様　s.o.terra.mater@gmail.com　
有馬先生　bonebreaker250@gmail.com　
都竹先生　t_shinya0315@yahoo.co.jp　</t>
  </si>
  <si>
    <t>医療法人 源算会 猿渡整形外科スポーツリハクリニック</t>
  </si>
  <si>
    <t>猿渡　知行</t>
  </si>
  <si>
    <t>大分県</t>
  </si>
  <si>
    <t>https://sawatari-cl.com/</t>
  </si>
  <si>
    <t>097-593-0008</t>
  </si>
  <si>
    <t>turtleinkinabalu@gmail.com</t>
  </si>
  <si>
    <t>なごやEVTクリニック</t>
  </si>
  <si>
    <t>鴨井　大典</t>
  </si>
  <si>
    <t>愛知県</t>
  </si>
  <si>
    <t>https://evt-cl.com/</t>
  </si>
  <si>
    <t>052-908-4570</t>
  </si>
  <si>
    <t>dkamoi.dk77@gmail.com</t>
  </si>
  <si>
    <t>慶元整形外科　リハビリ骨粗鬆症クリニック</t>
  </si>
  <si>
    <t>慶元　秀規</t>
  </si>
  <si>
    <t>https://keimotoseikei.com/</t>
  </si>
  <si>
    <t>06-6693-2023</t>
  </si>
  <si>
    <t>090-8539-2208</t>
  </si>
  <si>
    <t>k_hidekin@yahoo.co.jp</t>
  </si>
  <si>
    <t>石田先生個人（往診医のため個人でOK）</t>
  </si>
  <si>
    <t>石田　岳</t>
  </si>
  <si>
    <t>北海道</t>
  </si>
  <si>
    <t>080-3293-2100</t>
  </si>
  <si>
    <t>gakuinhokkaido@gmail.com</t>
  </si>
  <si>
    <t>おかざき足の血管外科・痛みのクリニック</t>
  </si>
  <si>
    <t>藤原　圭史</t>
  </si>
  <si>
    <t>https://okazaki-varix-pain.com/</t>
  </si>
  <si>
    <t>0564-83-8105</t>
  </si>
  <si>
    <t>kf19860729@gmail.com</t>
  </si>
  <si>
    <t>医療法人診誠会ためがい整形外科クリニック</t>
  </si>
  <si>
    <t>為貝　秀明</t>
  </si>
  <si>
    <t>千葉県</t>
  </si>
  <si>
    <t>https://www.tamegai-clinic.com/</t>
  </si>
  <si>
    <t>04-7157-8877</t>
  </si>
  <si>
    <t>090-4592-2283</t>
  </si>
  <si>
    <t>hideakitamegai@yahoo.co.jp</t>
  </si>
  <si>
    <t>医療法人健裕会　よこい整形外科　健康スポーツクリニック</t>
  </si>
  <si>
    <t>横井　裕之</t>
  </si>
  <si>
    <t>https://yokoi-sports.clinic/</t>
  </si>
  <si>
    <t>06-6850-4511</t>
  </si>
  <si>
    <t>hiroyukiyokoi0629@gmail.com</t>
  </si>
  <si>
    <t>さくがわクリニック</t>
  </si>
  <si>
    <t>佐久川　貴行</t>
  </si>
  <si>
    <t>沖縄県</t>
  </si>
  <si>
    <t>https://www.sakugawa-clinic.com/</t>
  </si>
  <si>
    <t>098-877-5577</t>
  </si>
  <si>
    <t>saku_taka1231@yahoo.co.jp</t>
  </si>
  <si>
    <t>医療法人社団健将会　帝都メディカルクリニック　西新井駅前院</t>
  </si>
  <si>
    <t>藤田　将英</t>
  </si>
  <si>
    <t>https://www.teito-mc.com/</t>
  </si>
  <si>
    <t>03-3889-1371</t>
  </si>
  <si>
    <t>masahide.fujita@gmail.com</t>
  </si>
  <si>
    <t>新中野整形・リハビリテーションクリニック　</t>
  </si>
  <si>
    <t>岡部　高弘</t>
  </si>
  <si>
    <t>https://www.okabe-seikei.com/</t>
  </si>
  <si>
    <t>03-6382-5452</t>
  </si>
  <si>
    <t>090-2901-4250</t>
  </si>
  <si>
    <t>okavicla2000@yahoo.co.jp</t>
  </si>
  <si>
    <t>医療法人 おおしま整形外科</t>
  </si>
  <si>
    <t>大嶋　直人</t>
  </si>
  <si>
    <t>福岡県</t>
  </si>
  <si>
    <t>https://o-oc.com/doctor/</t>
  </si>
  <si>
    <t>0946-23-9201</t>
  </si>
  <si>
    <t>090-3412-1566</t>
  </si>
  <si>
    <t>naokun7010@mac.com
naokun7010@gmail.com</t>
  </si>
  <si>
    <t>医療法人社団ライフアスリート
高陽整形外科クリニック</t>
  </si>
  <si>
    <t>今田　岳男</t>
  </si>
  <si>
    <t>広島県</t>
  </si>
  <si>
    <t>https://lifeathlete.or.jp/</t>
  </si>
  <si>
    <t>082-841-0015</t>
  </si>
  <si>
    <t>imada-dr@lifeathlete.or.jp
koyosports62@gmail.com
minamitani.ns@gmail.com恐らくナース（南谷佐斗美）</t>
  </si>
  <si>
    <t>医療法人健寿会　小山整形外科内科クリニック</t>
  </si>
  <si>
    <t>整形外科　</t>
  </si>
  <si>
    <t>笹原　潤　理事長小黒賢二</t>
  </si>
  <si>
    <t>栃木県</t>
  </si>
  <si>
    <t>https://www.oyamaseikeigekanaika.jp/</t>
  </si>
  <si>
    <t>0285-31-3366</t>
  </si>
  <si>
    <t xml:space="preserve">
石橋様アドレス　y-ishibashi@oyamaseikeigekanaika.jp</t>
  </si>
  <si>
    <t>figo_sasa@yahoo.co.jp　j.sasa@me.com</t>
  </si>
  <si>
    <t>医療法人社団ＭＤＴ平良 
たいら手の外科・整形外科　</t>
  </si>
  <si>
    <t>平良　貴志
（たいら　たかし）</t>
  </si>
  <si>
    <t>https://taira-tenogeka.com/index.html</t>
  </si>
  <si>
    <t>042-587-5530</t>
  </si>
  <si>
    <t>090-9656-9871</t>
  </si>
  <si>
    <t>takashitaira28@yahoo.co.jp
takashiokinawa@gmail.com</t>
  </si>
  <si>
    <t>人形町整形外科ペイン・リハビリクリニック</t>
  </si>
  <si>
    <t>戸田　繁
（とだ　しげる）</t>
  </si>
  <si>
    <t>https://spr-cl.jp/</t>
  </si>
  <si>
    <t>03-6231-0604</t>
  </si>
  <si>
    <t>090-2406-5811</t>
  </si>
  <si>
    <t>spr.clinic@gmail.com</t>
  </si>
  <si>
    <t>医療法人翔寿会　こんどう整形外科クリニック</t>
  </si>
  <si>
    <t>建道　寿教
（こんどう　としのり）</t>
  </si>
  <si>
    <t>https://www.kondo-seikei.jp/</t>
  </si>
  <si>
    <t>06-6690-5353</t>
  </si>
  <si>
    <t>kondo-seikei@eco.ocn.ne.jp</t>
  </si>
  <si>
    <t>医療法人社団　内野整形外科クリニック　</t>
  </si>
  <si>
    <t>佐野　博繁</t>
  </si>
  <si>
    <t>新潟県</t>
  </si>
  <si>
    <t>https://uchino-seikei.com/</t>
  </si>
  <si>
    <t>025-378-6990</t>
  </si>
  <si>
    <t>080-7668-2815</t>
  </si>
  <si>
    <t>uchinoseikei@gmail.com</t>
  </si>
  <si>
    <t>うえしま整形外科・運動器クリニック</t>
  </si>
  <si>
    <t>上島　謙一</t>
  </si>
  <si>
    <t>石川県</t>
  </si>
  <si>
    <t>https://ueshima-seikei.com/</t>
  </si>
  <si>
    <t>076-289-2236</t>
  </si>
  <si>
    <t>090-9444-52179</t>
  </si>
  <si>
    <t>ueshima1@yahoo.co.jp
ueshima1@gmail.com</t>
  </si>
  <si>
    <t>医療法人 仁優会　上林整形クリニック　</t>
  </si>
  <si>
    <t>上林　洋二</t>
  </si>
  <si>
    <t>https://www.kami-seikei.com/</t>
  </si>
  <si>
    <t>0466-36-2226</t>
  </si>
  <si>
    <t>090-1409-2567</t>
  </si>
  <si>
    <t>ykamibayashi@kami-seikei.com</t>
  </si>
  <si>
    <t>白　勝</t>
  </si>
  <si>
    <t>https://www.haku89.com/</t>
  </si>
  <si>
    <t>03-3480-7889</t>
  </si>
  <si>
    <t>090-4011-0528</t>
  </si>
  <si>
    <t>katsuhaku@gmail.com
事業本部/福西佑介様 yusuke.fukunishi0925@gmail.com</t>
  </si>
  <si>
    <t>狛江はく整形外科（分院）</t>
  </si>
  <si>
    <t>院長（分院長）</t>
  </si>
  <si>
    <t>加藤　基樹</t>
  </si>
  <si>
    <t>03-3430-7889</t>
  </si>
  <si>
    <t>mottydec12cbr1000rr@yahoo.co.jp
事業本部/福西佑介様 yusuke.fukunishi0925@gmail.com</t>
  </si>
  <si>
    <t>医療法人　舜成会　西国立整形外科クリニック</t>
  </si>
  <si>
    <t>韓　哲舜
（ハン　チョルスン）</t>
  </si>
  <si>
    <t>https://nishikunitachi-seikei.com/</t>
  </si>
  <si>
    <t>042-512-9320</t>
  </si>
  <si>
    <t>090-4812-8914</t>
  </si>
  <si>
    <t>nishikuniseikei.2019@gmail.com
cheolsun.han.1229@gmail.com</t>
  </si>
  <si>
    <t>医療法人社団　あさい会　浅井診療所</t>
  </si>
  <si>
    <t>院長　理事長浅井光子</t>
  </si>
  <si>
    <t>浅井　靖
（あさい　やすし）</t>
  </si>
  <si>
    <t>兵庫県</t>
  </si>
  <si>
    <t>https://asaikai.com/</t>
  </si>
  <si>
    <t>0798-22-3136</t>
  </si>
  <si>
    <t>090-8379-2496</t>
  </si>
  <si>
    <t>yapon.asapon@gmail.com</t>
  </si>
  <si>
    <t>社会医療法人鴻仁会　岡山中央病院</t>
  </si>
  <si>
    <t>理事長金重哲三</t>
  </si>
  <si>
    <t>小林　浩之</t>
  </si>
  <si>
    <t>岡山県</t>
  </si>
  <si>
    <t>https://www.kohjin.ne.jp/</t>
  </si>
  <si>
    <t>086-252-5002</t>
  </si>
  <si>
    <t>coba1012@yahoo.co.jp
大田原様　otawara_t@kohjin.ne.jp</t>
  </si>
  <si>
    <t>医療法人社団　永井整形外科医院</t>
  </si>
  <si>
    <t>永井　新二</t>
  </si>
  <si>
    <t>香川県</t>
  </si>
  <si>
    <t>http://www.nagai-group.com/nagaiseikei/</t>
  </si>
  <si>
    <t>0877-45-1177</t>
  </si>
  <si>
    <t>090-4783-0748</t>
  </si>
  <si>
    <t>longnew2@me.com
longnew3@me.com
上垣内様　nagais@nagai-group.com</t>
  </si>
  <si>
    <t>医療法人陽会　かとう整形外科スポーツ運動器クリニック</t>
  </si>
  <si>
    <t>加藤　寿陽</t>
  </si>
  <si>
    <t>https://kato-osc.jp/</t>
  </si>
  <si>
    <t>082-554-8606</t>
  </si>
  <si>
    <t>090-8841-6823</t>
  </si>
  <si>
    <t>toshikiti1945@yahoo.co.jp</t>
  </si>
  <si>
    <t>医療法人社団耀風会 仲野整形外科スポーツ・ウェルネスクリニック</t>
  </si>
  <si>
    <t>仲野　靖司</t>
  </si>
  <si>
    <t>https://nakano-seikei.jp/</t>
  </si>
  <si>
    <t>0466-22-1780</t>
  </si>
  <si>
    <t>090-7264-3980</t>
  </si>
  <si>
    <t>12yass23@gmail.com</t>
  </si>
  <si>
    <t>みしま　痛み＆リハビリクリニック</t>
  </si>
  <si>
    <t>寺田　哲</t>
  </si>
  <si>
    <t>静岡県</t>
  </si>
  <si>
    <t>https://mishima-itami.com/</t>
  </si>
  <si>
    <t>055−957−1364</t>
  </si>
  <si>
    <t>080-3028-6346</t>
  </si>
  <si>
    <t>s.u50291201@icloud.com
dsda106874@gmail.com</t>
  </si>
  <si>
    <t>医療法人名古屋究佳会　さいとう整形外科リウマチ科</t>
  </si>
  <si>
    <t>斉藤　究</t>
  </si>
  <si>
    <t>https://saito-seikei.jp/concept/</t>
  </si>
  <si>
    <t>052-776-3110</t>
  </si>
  <si>
    <t>saito-seikei@live.jp</t>
  </si>
  <si>
    <t>医療法人藤幸会　かとう整形外科</t>
  </si>
  <si>
    <t>加藤　武史</t>
  </si>
  <si>
    <t>https://www.kato-seikei.or.jp/doctor/</t>
  </si>
  <si>
    <t>0564-55-1177</t>
  </si>
  <si>
    <t>090-7677-3407</t>
  </si>
  <si>
    <t>take0531@kkh.biglobe.ne.jp</t>
  </si>
  <si>
    <t>医療法人社団大空会　花園整形外科内科</t>
  </si>
  <si>
    <t>佐村　敦義</t>
  </si>
  <si>
    <t>埼玉県</t>
  </si>
  <si>
    <t>https://www.hanazonoseikeigekanaika.com/</t>
  </si>
  <si>
    <t>04-2943-8155</t>
  </si>
  <si>
    <t>a_samura@yahoo.co.jp
kaigo.hanazono@gmail.com</t>
  </si>
  <si>
    <t>医療法人社団SEISEN　清泉クリニック整形外科内科</t>
  </si>
  <si>
    <t>副院長　理事長脇元順一</t>
  </si>
  <si>
    <t>島田　隆太郎</t>
  </si>
  <si>
    <t>鹿児島県</t>
  </si>
  <si>
    <t>https://seisen.info/kagoshima/</t>
  </si>
  <si>
    <t>099-223-1936</t>
  </si>
  <si>
    <t>090-6290-1342</t>
  </si>
  <si>
    <t>r.shimada1207@icloud.com</t>
  </si>
  <si>
    <t>医療法人アレックス AR-Ex尾山台整形外科</t>
  </si>
  <si>
    <t>久保　貴敬</t>
  </si>
  <si>
    <t>https://ar-ex.jp/oyamadai</t>
  </si>
  <si>
    <t>03-5758-3007</t>
  </si>
  <si>
    <t>090-7621-9294</t>
  </si>
  <si>
    <t>takanori.k.1882@gmail.com
経理 木内由紀様　kiuchi-yuki@ar-ex.jp</t>
  </si>
  <si>
    <t>医療法人アレックス 上田整形外科内科</t>
  </si>
  <si>
    <t>梁　秀鼎</t>
  </si>
  <si>
    <t>長野県</t>
  </si>
  <si>
    <t>https://ar-ex.jp/ueda</t>
  </si>
  <si>
    <t>0268-75-7518</t>
  </si>
  <si>
    <t>医療法人　建仁会　平田整形外科クリニック</t>
  </si>
  <si>
    <t>平田　淳作</t>
  </si>
  <si>
    <t>http://www.kagoshima.med.or.jp/map/index/1283.html</t>
  </si>
  <si>
    <t>0996-62-8801</t>
  </si>
  <si>
    <t>080-7989-8378</t>
  </si>
  <si>
    <t>hirajun4@gmail.com</t>
  </si>
  <si>
    <t>たが整形外科クリニック</t>
  </si>
  <si>
    <t>多賀　正</t>
  </si>
  <si>
    <t>https://taga.clinic/aboutus</t>
  </si>
  <si>
    <t>076-213-5012</t>
  </si>
  <si>
    <t>tagatadasi@yahoo.co.jp</t>
  </si>
  <si>
    <t>医療法人社団　Do-Clinic 整形・運動器リハビリテーション（ドゥクリニック）</t>
  </si>
  <si>
    <t>道家　孝幸
（どうけ　たかゆき）</t>
  </si>
  <si>
    <t>https://www.do-clinic.jp/</t>
  </si>
  <si>
    <t>011-222-3334</t>
  </si>
  <si>
    <t>dohke@do-clinic.jp</t>
  </si>
  <si>
    <t>医療法人社団　笹島整形外科クリニック</t>
  </si>
  <si>
    <t>村田　寿馬</t>
  </si>
  <si>
    <t>https://sasajima-seikei.jp/</t>
  </si>
  <si>
    <t>042-599-3722</t>
  </si>
  <si>
    <t>090-3573-8061</t>
  </si>
  <si>
    <t>kaz.mur26@gmail.com
事務長　村田様
smurata.sasajimaseikei@gmail.com</t>
  </si>
  <si>
    <t>稲城平尾整形外科クリニック</t>
  </si>
  <si>
    <t>大野　達朗</t>
  </si>
  <si>
    <t>https://inagihirao-seikei.clinic/</t>
  </si>
  <si>
    <t>042-350-1122</t>
  </si>
  <si>
    <t>090-7911-0983</t>
  </si>
  <si>
    <t>administrator@inagihirao-seikei.clinic
大野先生gmail　kurinon264@gmail.com</t>
  </si>
  <si>
    <t>医療法人社団　滋恵会　安藤整形外科</t>
  </si>
  <si>
    <t>理事長　加藤篤史</t>
  </si>
  <si>
    <t>加藤　昌代</t>
  </si>
  <si>
    <t>http://www.ando-hospital.com/</t>
  </si>
  <si>
    <t>044-811-2711</t>
  </si>
  <si>
    <t>090-9979-0057</t>
  </si>
  <si>
    <t>hayama1002@gmail.com</t>
  </si>
  <si>
    <t>柵木先生個人</t>
  </si>
  <si>
    <t>柵木　晃</t>
  </si>
  <si>
    <t>090-1753-6588</t>
  </si>
  <si>
    <t>uribou1956@gmail.com</t>
  </si>
  <si>
    <t>衣笠駅前整形外科リハビリ・骨粗鬆症クリニック</t>
  </si>
  <si>
    <t>手塚　太郎</t>
  </si>
  <si>
    <t>https://www.kngs-ortho.com/</t>
  </si>
  <si>
    <t>046-850-1133</t>
  </si>
  <si>
    <t>090-1762-7254</t>
  </si>
  <si>
    <t>tettu59@gmail.com</t>
  </si>
  <si>
    <t>理事長　千代倉　吉宏
院長　有馬　敏彦</t>
  </si>
  <si>
    <t>https://www.sato-seikei-hiro.com/</t>
  </si>
  <si>
    <t>03-3851-3085</t>
  </si>
  <si>
    <t>090-8238-3305</t>
  </si>
  <si>
    <t>有馬先生　yygaziduh@yahoo.co.jp
松浦佑樹様　ukukapr28@gmail.com</t>
  </si>
  <si>
    <t>豊田土橋リウマチクリニック</t>
  </si>
  <si>
    <t>高杉　浩司
（たかすぎ　こうじ）</t>
  </si>
  <si>
    <t>https://rheumatology.co.jp/</t>
  </si>
  <si>
    <t>090-5057-3625</t>
  </si>
  <si>
    <t>takasugikoji@gmail.com</t>
  </si>
  <si>
    <t>松田　虎洋</t>
  </si>
  <si>
    <t>宮崎県</t>
  </si>
  <si>
    <t>https://m-orthopain.com/</t>
  </si>
  <si>
    <t>0987-23-1151</t>
  </si>
  <si>
    <t>matsudaorthopain16@gmail.com
toramatsuda@gmail.com</t>
  </si>
  <si>
    <t>医療法人弘仁会　かもいクリニック</t>
  </si>
  <si>
    <t>鴨居　史樹</t>
  </si>
  <si>
    <t>https://kamoiclinic.org/</t>
  </si>
  <si>
    <t>0263-87-5773</t>
  </si>
  <si>
    <t>090-5605-1408</t>
  </si>
  <si>
    <t>fumiki.kamoi@kamoiclinic.org
鴨居先生gmail
fumikikamoi@gmail.com</t>
  </si>
  <si>
    <t>医療法人優真会やなせ整形外科</t>
  </si>
  <si>
    <t>簗瀬　能三</t>
  </si>
  <si>
    <t>和歌山県</t>
  </si>
  <si>
    <t>https://yanase-orc.com/</t>
  </si>
  <si>
    <t>073-456-2600</t>
  </si>
  <si>
    <t>090-8822924
（一桁足りない）</t>
  </si>
  <si>
    <t>yoshiya3721@abox3.so-net.ne.jp
yanaseyoshizou943@gmail.com</t>
  </si>
  <si>
    <t>医療法人龍樹会　池田整形外科リハビリテーションクリニック</t>
  </si>
  <si>
    <t>池田　昌樹</t>
  </si>
  <si>
    <t>https://www.ikedaclinic.website/</t>
  </si>
  <si>
    <t>082-516-1185</t>
  </si>
  <si>
    <t>090-1482-9285</t>
  </si>
  <si>
    <t>masakiikeda1014@gmail.com</t>
  </si>
  <si>
    <t>医療法人都甲クリニック</t>
  </si>
  <si>
    <t>理事長　都甲昭彦</t>
  </si>
  <si>
    <t>都甲　渓
（とごう　けい）</t>
  </si>
  <si>
    <t>https://togo-clinic.com/</t>
  </si>
  <si>
    <t>0267-64-1050</t>
  </si>
  <si>
    <t>090-4394-6203</t>
  </si>
  <si>
    <t>ortho@togo-clinic.com</t>
  </si>
  <si>
    <t xml:space="preserve">西梅田静脈瘤・痛みのクリニック
</t>
  </si>
  <si>
    <t>小田　晃義</t>
  </si>
  <si>
    <t>https://www.west-umeda-clinic.com/</t>
  </si>
  <si>
    <t>080-5634-1295</t>
  </si>
  <si>
    <t>teru.oda0321@gmail.com</t>
  </si>
  <si>
    <t>医療法人社団　医生会　わせだ整形外科</t>
  </si>
  <si>
    <t>早稲田　明生</t>
  </si>
  <si>
    <t>https://waseda-foot.jp/</t>
  </si>
  <si>
    <t>03-5438-4811</t>
  </si>
  <si>
    <t xml:space="preserve">
03-6411-8286</t>
  </si>
  <si>
    <t>akeowaseda@gmail.com</t>
  </si>
  <si>
    <t>事務長　早稲田一美様</t>
  </si>
  <si>
    <t>info@waseda-foot.jp</t>
  </si>
  <si>
    <t>平岸ペインクリニック</t>
  </si>
  <si>
    <t>藤井　知昭</t>
  </si>
  <si>
    <t>https://hiragishi-pain.com/</t>
  </si>
  <si>
    <t>011-837-1374</t>
  </si>
  <si>
    <t>090-8898-0745</t>
  </si>
  <si>
    <t>tomoaki927@gmail.com</t>
  </si>
  <si>
    <t>医療法人　むらしま整形外科　</t>
  </si>
  <si>
    <t>村島　一平</t>
  </si>
  <si>
    <t>三重県</t>
  </si>
  <si>
    <t>http://www.m-o-clinic.com/</t>
  </si>
  <si>
    <t>059-237-0838</t>
  </si>
  <si>
    <t>090-3447-3544</t>
  </si>
  <si>
    <t>h47f252h@yahoo.co.jp</t>
  </si>
  <si>
    <t>ただおクリニックプラス</t>
  </si>
  <si>
    <t>達　和人</t>
  </si>
  <si>
    <t>https://machida-varix.jp/</t>
  </si>
  <si>
    <t>042-794-9359</t>
  </si>
  <si>
    <t>ktatu602@yahoo.co.jp</t>
  </si>
  <si>
    <t>医療法人有壬会　はた整形外科</t>
  </si>
  <si>
    <t>秦　命賢
（はた　めいけん）</t>
  </si>
  <si>
    <t>http://www.hata-seikei.com/</t>
  </si>
  <si>
    <t>04-7128-8865</t>
  </si>
  <si>
    <t>090-2412-4997</t>
  </si>
  <si>
    <t>simeta8@gmail.com</t>
  </si>
  <si>
    <t>清水ペインクリニック</t>
  </si>
  <si>
    <t>清水　洋子</t>
  </si>
  <si>
    <t>https://shimizu-pain.com/</t>
  </si>
  <si>
    <t>054‐395‐8717</t>
  </si>
  <si>
    <t>090-7959-5434</t>
  </si>
  <si>
    <t>yoko.shimizu12@gmail.com
副院長　清水宏泰先生　shimihiro829@yahoo.co.jp</t>
  </si>
  <si>
    <t>宮田整形外科・皮フ科</t>
  </si>
  <si>
    <t>宮田　博夫</t>
  </si>
  <si>
    <t>http://www.miyataseikei.com/</t>
  </si>
  <si>
    <t>0562-46-7788</t>
  </si>
  <si>
    <t>阿部様</t>
  </si>
  <si>
    <t xml:space="preserve">
miyata_s_k@yahoo.co.jp　</t>
  </si>
  <si>
    <t>医療法人社団愛生舘　HoRM CLINIC（ホルムクリニック）</t>
  </si>
  <si>
    <t>山本　匡</t>
  </si>
  <si>
    <t>https://horm.co.jp/</t>
  </si>
  <si>
    <t>011-676-7814</t>
  </si>
  <si>
    <t>山本先生　cardioversionist@gmail.com
事務/平岩様 konoka.hi@horm.co.jp　請求書は山本先生とoffice@horm.co.jp</t>
  </si>
  <si>
    <t>森田　祐二</t>
  </si>
  <si>
    <t>朝来ふじい整形外科クリニック</t>
  </si>
  <si>
    <t>藤井　貴</t>
  </si>
  <si>
    <t>https://www.asago-fujii-seikeigeka-clinic.com/</t>
  </si>
  <si>
    <t>079-676-5102</t>
  </si>
  <si>
    <t>090-3429-7562</t>
  </si>
  <si>
    <t>takanao@voice.ocn.ne.jp</t>
  </si>
  <si>
    <t>医療法人社団　石史山会
札幌スポーツクリニック</t>
  </si>
  <si>
    <t>整形外科</t>
  </si>
  <si>
    <t>塩泡　孝介
（しわく　こうすけ）</t>
  </si>
  <si>
    <t>https://www.sapporo-sports-clinic.jp/</t>
  </si>
  <si>
    <t>011-281-8755</t>
  </si>
  <si>
    <t>090-9526-9859</t>
  </si>
  <si>
    <t>shiwaku1008@gmail.com</t>
  </si>
  <si>
    <t>理事長・院長　山村俊昭
大坪　英則</t>
  </si>
  <si>
    <t>hide.otsubo@gmail.com
医局　山村修様　yamamura036@sapporo-sports-clinic.jp</t>
  </si>
  <si>
    <t>医療法人社団一全会
はら整形外科クリニック</t>
  </si>
  <si>
    <t>原　忠司</t>
  </si>
  <si>
    <t>https://www.hara-orthopaedic-cl.com/</t>
  </si>
  <si>
    <t>054-620-8772</t>
  </si>
  <si>
    <t>haraseikei0223@gmail.com</t>
  </si>
  <si>
    <t>池尻大橋せらクリニック</t>
  </si>
  <si>
    <t>世良　泰</t>
  </si>
  <si>
    <t>https://sera-clinic.com/</t>
  </si>
  <si>
    <t>070-2827-9512</t>
  </si>
  <si>
    <t>sera@sports-medicine.info</t>
  </si>
  <si>
    <t>渡邉　順哉</t>
  </si>
  <si>
    <t>https://inoruto-fujisawa.jp/</t>
  </si>
  <si>
    <t>0466-25-3812</t>
  </si>
  <si>
    <t>fujisawa.watanabe.seikei@gmail.com</t>
  </si>
  <si>
    <t>経理担当</t>
  </si>
  <si>
    <t>junriha.kyuuyo@gmail.com</t>
  </si>
  <si>
    <t>印西千葉ニュータウン整形外科リハビリテーションクリニック</t>
  </si>
  <si>
    <t>川村　正樹</t>
  </si>
  <si>
    <t>https://chibanewtownseikei.com/</t>
  </si>
  <si>
    <t>0476-85-7430</t>
  </si>
  <si>
    <t>kwmasaki1024@gmail.com</t>
  </si>
  <si>
    <t>横濱 松宮整形外科リハビリテーションクリニック</t>
  </si>
  <si>
    <t>松宮　基英</t>
  </si>
  <si>
    <t>http://www.matsumiya-clinic.com/</t>
  </si>
  <si>
    <t>045-251-6411</t>
  </si>
  <si>
    <t>080-1160-2233</t>
  </si>
  <si>
    <t>matsumiya.clinic@gmail.com</t>
  </si>
  <si>
    <t>清水先生個人</t>
  </si>
  <si>
    <t>清水　勇樹</t>
  </si>
  <si>
    <t>090-9563-9749</t>
  </si>
  <si>
    <t>shimizuyuuki.7@gmail.com</t>
  </si>
  <si>
    <t>医療法人 メディカル・セブン
ながさきハートクリニック</t>
  </si>
  <si>
    <t>理事長　坂井秀章</t>
  </si>
  <si>
    <t>坂井　伸彰</t>
  </si>
  <si>
    <t>http://www.nagasaki-hc.com/</t>
  </si>
  <si>
    <t>095-818-4199</t>
  </si>
  <si>
    <t>坂井伸彰先生　nobu4199@gmail.com
院長　坂井秀章先生　sakai4199@gmail.com</t>
  </si>
  <si>
    <t>医療法人　松口整形外科クリニック</t>
  </si>
  <si>
    <t>副院長</t>
  </si>
  <si>
    <t>松口　俊央</t>
  </si>
  <si>
    <t>https://www.matsuguchi-seikei.com/</t>
  </si>
  <si>
    <t>092-844-1881</t>
  </si>
  <si>
    <t>080-3960-0859</t>
  </si>
  <si>
    <t>matsutoshi1222@gmail.com</t>
  </si>
  <si>
    <t>おおの整形外科内科医院</t>
  </si>
  <si>
    <t>大野　尚徳</t>
  </si>
  <si>
    <t>愛媛県</t>
  </si>
  <si>
    <t>https://oono-clinic.com/</t>
  </si>
  <si>
    <t>089-973-0112</t>
  </si>
  <si>
    <t>090-2781-9445</t>
  </si>
  <si>
    <t>musashinopapada@yahoo.co.jp</t>
  </si>
  <si>
    <t>片山　和洋</t>
  </si>
  <si>
    <t>山梨県</t>
  </si>
  <si>
    <t>https://kanoiwa-hospital.or.jp/</t>
  </si>
  <si>
    <t>0553-22-2511</t>
  </si>
  <si>
    <t>090-9143-7412</t>
  </si>
  <si>
    <t>rose1164man@gmail.com　　　　　　　　　　　　　</t>
  </si>
  <si>
    <t>　請求書雨宮様</t>
  </si>
  <si>
    <t>service@kanoiwa-hospital.or.jp</t>
  </si>
  <si>
    <t>https://saginomiya-haku89.com/</t>
  </si>
  <si>
    <t>03-5356-6589</t>
  </si>
  <si>
    <t>katsuhaku@gmail.com</t>
  </si>
  <si>
    <t>事業本部　福西佑介様</t>
  </si>
  <si>
    <t>yusuke.fukunishi0925@gmail.com</t>
  </si>
  <si>
    <t>髙橋　周</t>
  </si>
  <si>
    <t>宮城県</t>
  </si>
  <si>
    <t>https://www.h-aoba.jp/</t>
  </si>
  <si>
    <t>050-3185-9217</t>
  </si>
  <si>
    <t>shu@h-aoba.jp</t>
  </si>
  <si>
    <t>いしお痛みのクリニック</t>
  </si>
  <si>
    <t>石尾　純一</t>
  </si>
  <si>
    <t>https://ishio-painclinic.com/</t>
  </si>
  <si>
    <t>090-6983-3820</t>
  </si>
  <si>
    <t>ishio.pain@gmail.com</t>
  </si>
  <si>
    <t>医療法人勇誠会　こうゆうクリニック</t>
  </si>
  <si>
    <t>公平　勇二
（こうだいら）</t>
  </si>
  <si>
    <t>https://koyu-clinic.com/</t>
  </si>
  <si>
    <t>048-290-8832</t>
  </si>
  <si>
    <t>090-4620-7416</t>
  </si>
  <si>
    <t>hakoj124@gmail.com</t>
  </si>
  <si>
    <t>出田　聡志</t>
  </si>
  <si>
    <t>https://www.ideta-ortho.com/</t>
  </si>
  <si>
    <t>0957-61-0700</t>
  </si>
  <si>
    <t>090-8667-6308</t>
  </si>
  <si>
    <t>ortho.ideta.202010@gmail.com</t>
  </si>
  <si>
    <t>医療法人啓信会　中之島いわき整形外科</t>
  </si>
  <si>
    <t>祷（いのり）史明</t>
  </si>
  <si>
    <t>https://nakanoshima-iwaki-cl.jp/</t>
  </si>
  <si>
    <t>06-6454-8155</t>
  </si>
  <si>
    <t>090-6067-6718</t>
  </si>
  <si>
    <t>inorin@flute.ocn.ne.jp</t>
  </si>
  <si>
    <t>梶谷　光太郎</t>
  </si>
  <si>
    <t>https://kajitani-seikeigeka.com/</t>
  </si>
  <si>
    <t>0554-62-6066</t>
  </si>
  <si>
    <t>090-9147-7843</t>
  </si>
  <si>
    <t>jindaiji4649@ezweb.ne.jp</t>
  </si>
  <si>
    <t>城戸　晴規</t>
  </si>
  <si>
    <t>https://kido-paincl.com</t>
  </si>
  <si>
    <t>072-685-0161</t>
  </si>
  <si>
    <t>kidoharuki1125@gmail.com</t>
  </si>
  <si>
    <t xml:space="preserve">公益財団法人 操風会 岡山旭東病院 </t>
  </si>
  <si>
    <t>院長　吉岡純二</t>
  </si>
  <si>
    <t>吉岡　亮</t>
  </si>
  <si>
    <t>https://www.kyokuto.or.jp/</t>
  </si>
  <si>
    <t>086-276-3231</t>
  </si>
  <si>
    <t>yoshi750912@yahoo.co.jp</t>
  </si>
  <si>
    <t>医療法人Eternabloom　さくら通り整形外科クリニック</t>
  </si>
  <si>
    <t>宇賀治　修平</t>
  </si>
  <si>
    <t>福井県</t>
  </si>
  <si>
    <t>https://fukui-seikeigeka.com/</t>
  </si>
  <si>
    <t>0776-58-7138　</t>
  </si>
  <si>
    <t>秘書　本塚様
070-4699-5128</t>
  </si>
  <si>
    <t>秘書　本塚様　saki.motozuka.1991@gmail.com
sagital67ge@gmail.com</t>
  </si>
  <si>
    <t>KAZU CLINIC</t>
  </si>
  <si>
    <t>森実　和樹
（もりざねかずき）</t>
  </si>
  <si>
    <t>https://www.kazuclinic-ehime.com/</t>
  </si>
  <si>
    <t>080-3161-5493</t>
  </si>
  <si>
    <t>kazuki.morizane@gmail.com　morizane@kazuclinic-ehime.com</t>
  </si>
  <si>
    <t>医療法人いつき会 守山いつき病院</t>
  </si>
  <si>
    <t>院長　　　　　　整形外科　</t>
  </si>
  <si>
    <t>遠藤　治樹　　　　　　谷口　祥一</t>
  </si>
  <si>
    <t>https://moriyama-itsuki.com/</t>
  </si>
  <si>
    <t>052-793-3101</t>
  </si>
  <si>
    <t>090-8320-7219</t>
  </si>
  <si>
    <t>taniguchi@ituki.com　　</t>
  </si>
  <si>
    <t>医局秘書　吉岡</t>
  </si>
  <si>
    <t>soumu1-mih@ituki.com</t>
  </si>
  <si>
    <t xml:space="preserve">用賀整形外科クリニック
</t>
  </si>
  <si>
    <t>山口　徹</t>
  </si>
  <si>
    <t>https://yoga-seikei.com/</t>
  </si>
  <si>
    <t>proud.of.gucci@gmail.com</t>
  </si>
  <si>
    <t>本庄脳神経外科・脊椎外科</t>
  </si>
  <si>
    <t>菊地　亮吾</t>
  </si>
  <si>
    <t>https://www.honjo-neurospine.jp/</t>
  </si>
  <si>
    <t>0495-23-9156</t>
  </si>
  <si>
    <t>fi020084@yahoo.co.jp</t>
  </si>
  <si>
    <t>天王寺 整形外科クリニックN</t>
  </si>
  <si>
    <t>野口　亮介</t>
  </si>
  <si>
    <t>https://www.tennoji-n.com/</t>
  </si>
  <si>
    <t>090-4270-5514</t>
  </si>
  <si>
    <t>showa53neverchange@yahoo.co.jp</t>
  </si>
  <si>
    <t>医療法人アドナイ　岩下クリニック</t>
  </si>
  <si>
    <t>理事長・院長</t>
  </si>
  <si>
    <t>岩下　幸雄</t>
  </si>
  <si>
    <t>https://iwashita-c.jp/</t>
  </si>
  <si>
    <t>0978-66-4055</t>
  </si>
  <si>
    <t>iwashita-clinic@air.ocn.ne.jp</t>
  </si>
  <si>
    <t>医療法人社団日輝会　うなやま整形外科　　　　　　　　　　　　</t>
  </si>
  <si>
    <t>宇南山　賢二</t>
  </si>
  <si>
    <t>https://www.unayamaseikei.com/</t>
  </si>
  <si>
    <t>045-370-6800</t>
  </si>
  <si>
    <t>k.una-ynkh@ezweb.ne.jp</t>
  </si>
  <si>
    <t>糸川整形外科クリニック　　　</t>
  </si>
  <si>
    <t>糸川高史</t>
  </si>
  <si>
    <t>https://itokawa-ortho.com/</t>
  </si>
  <si>
    <t>092-805-1551</t>
  </si>
  <si>
    <t>itok81@aol.com</t>
  </si>
  <si>
    <t>医療法人慶文会阪神せぼね健康クリニック　　</t>
  </si>
  <si>
    <t>姜　良勲（きょう　よしのり）</t>
  </si>
  <si>
    <t>https://kyoh-clinic.com/spine-health/</t>
  </si>
  <si>
    <t>06-6411-0714</t>
  </si>
  <si>
    <t>080-4553-1728</t>
  </si>
  <si>
    <t>kyohclinic.sec@gmail.com　（松田知恵様）</t>
  </si>
  <si>
    <t>医療法人喜生会たわらまち整形外科・内科クリニック　　</t>
  </si>
  <si>
    <t>石黒　基（もとい）</t>
  </si>
  <si>
    <t>https://tawaramachi.jp/</t>
  </si>
  <si>
    <t>0776-22-2666</t>
  </si>
  <si>
    <t>motoiglo@tawaramachi.jp</t>
  </si>
  <si>
    <t>医療法人社団　順生会はにゅう整形外科　　</t>
  </si>
  <si>
    <t>羽生 亮</t>
  </si>
  <si>
    <t>https://hanyu-seikei.com/</t>
  </si>
  <si>
    <t>048-961-5577</t>
  </si>
  <si>
    <t>hanyuseikei@gmail.com</t>
  </si>
  <si>
    <t>個人契約</t>
  </si>
  <si>
    <t>告野英利</t>
  </si>
  <si>
    <t>090-5451-7164</t>
  </si>
  <si>
    <t>ede.bibe.lude.777@gmail.com</t>
  </si>
  <si>
    <t>サンマリーンクリニック</t>
  </si>
  <si>
    <t>佐藤　馨</t>
  </si>
  <si>
    <t>長野県長野市松岡二丁目41番28号</t>
  </si>
  <si>
    <t>https://sunmarine-cl.jp/</t>
  </si>
  <si>
    <t>026-274-5812</t>
  </si>
  <si>
    <t>shoumya0812@gmail.com</t>
  </si>
  <si>
    <t>医療法人絢南会　かすがい関節・スポーツ整形外科いたみのクリニック　　</t>
  </si>
  <si>
    <t>理事長　</t>
  </si>
  <si>
    <t>村瀬 熱紀</t>
  </si>
  <si>
    <t>https://kasugaisports-seikei.com/</t>
  </si>
  <si>
    <t>0568-31-3331</t>
  </si>
  <si>
    <t>atsunori06081978@yahoo.co.jp</t>
  </si>
  <si>
    <t>医療法人直佳会　森ロコモクリニック　　</t>
  </si>
  <si>
    <t>森直哉</t>
  </si>
  <si>
    <t>https://www.mori-locomo.com/</t>
  </si>
  <si>
    <t>0268-38-1313</t>
  </si>
  <si>
    <t>info@mori-locomo.com</t>
  </si>
  <si>
    <t>菅整形外科病院（すが）　</t>
  </si>
  <si>
    <t>理事長　松本泰子</t>
  </si>
  <si>
    <t>金出 政人</t>
  </si>
  <si>
    <t>https://s-ope1.wixsite.com/suga</t>
  </si>
  <si>
    <t>095-723-2388</t>
  </si>
  <si>
    <t>m.kanaide@gmail.com</t>
  </si>
  <si>
    <t>医事課　山本（請求書はこちらにだけ）</t>
  </si>
  <si>
    <t>s-ijika@suga-seikei.jp</t>
  </si>
  <si>
    <t>しろやまいたみのクリニック</t>
  </si>
  <si>
    <t>上嶋 浩順（ウエシマ ヒロノブ）</t>
  </si>
  <si>
    <t>https://shiroyama-itami.jp/</t>
  </si>
  <si>
    <t>080-3132-0591</t>
  </si>
  <si>
    <t>ueshimhi@gmail.com</t>
  </si>
  <si>
    <t>宮整形外科クリニック　</t>
  </si>
  <si>
    <t>井口智揮</t>
  </si>
  <si>
    <t>https://miya-ortho-clinic.com/</t>
  </si>
  <si>
    <t>073-474-3811</t>
  </si>
  <si>
    <t>090-1482-8133</t>
  </si>
  <si>
    <t>tomoki.iguchi@gmail.com</t>
  </si>
  <si>
    <t>一般社団法人イノルトイノルト整形外科 横浜院 痛みと骨粗鬆症クリニック　</t>
  </si>
  <si>
    <t>統括院長</t>
  </si>
  <si>
    <t>渡邉 順哉</t>
  </si>
  <si>
    <t>　（契約）一般社団法人イノルト　代表理事　渡邉順哉
　251-0024神奈川県藤沢市鵠沼橘１－１－１第二外岡ビル４階</t>
  </si>
  <si>
    <t>https://inoruto-yokohama.jp/</t>
  </si>
  <si>
    <t>045-577-9957</t>
  </si>
  <si>
    <t>watanabe.junya@inoruto.or.jp</t>
  </si>
  <si>
    <t>中里　伸也　松村健一</t>
  </si>
  <si>
    <t>https://www.n-cli.com/honmachi/</t>
  </si>
  <si>
    <t>06-6543-4976</t>
  </si>
  <si>
    <t>090-3269-0407</t>
  </si>
  <si>
    <t>nakasato0808.n.cli@gmail.com　　</t>
  </si>
  <si>
    <t>事務長　橋垣</t>
  </si>
  <si>
    <t>seijunkai385@gmail.com</t>
  </si>
  <si>
    <t>大阪京橋イノルト整形外科 痛みと骨粗鬆症クリニック　</t>
  </si>
  <si>
    <t>（契約）株式会社いのると　代表取締役　渡邉順哉
530-0022　大阪府大阪市北区浪花町１０番１４－２０１号</t>
  </si>
  <si>
    <t>https://inoruto-kyobashi.com/</t>
  </si>
  <si>
    <t>06-6357-6355</t>
  </si>
  <si>
    <t>坂本整形外科　</t>
  </si>
  <si>
    <t>小松知也</t>
  </si>
  <si>
    <t>https://www.komatsuseikei.com/</t>
  </si>
  <si>
    <t>0537-23-2255</t>
  </si>
  <si>
    <t>sakamotoseikei123@icloud.com</t>
  </si>
  <si>
    <t>岩田ペインクリニック内科　</t>
  </si>
  <si>
    <t>岩田 敏男</t>
  </si>
  <si>
    <t>https://iwata-pain.com/</t>
  </si>
  <si>
    <t>0745-33-3100</t>
  </si>
  <si>
    <t>t-iwata@m5.kcn.ne.jp</t>
  </si>
  <si>
    <t>医療法人社団スポーツメディカル八王子スポーツ整形外科　</t>
  </si>
  <si>
    <t>間瀬泰克</t>
  </si>
  <si>
    <t>https://sports-medical.net/</t>
  </si>
  <si>
    <t>042-626-0308</t>
  </si>
  <si>
    <t>yasuyoshi.mase@gmail.com　　　　　　事務森山貴弘　t.moriyama@sports-medical.net</t>
  </si>
  <si>
    <t>医療法人同信会福岡整形外科病院　　</t>
  </si>
  <si>
    <t>院長 吉本隆昌</t>
  </si>
  <si>
    <t>整形外科医長　碇 博哉</t>
  </si>
  <si>
    <t>https://www.fukuokaseikei.com/</t>
  </si>
  <si>
    <t>092-512-1801（総務）</t>
  </si>
  <si>
    <t>090-2716-5520</t>
  </si>
  <si>
    <t>ikari-h@fukuokaseikei.com</t>
  </si>
  <si>
    <t>安藤　健</t>
  </si>
  <si>
    <t>info@fukuokaseikei.com</t>
  </si>
  <si>
    <t>医療法人社団　三輪整形外科クリニック　　</t>
  </si>
  <si>
    <t>三輪　啓之</t>
  </si>
  <si>
    <t>http://miwa-seikeigeka.clinic/</t>
  </si>
  <si>
    <t>06-6228-3526</t>
  </si>
  <si>
    <t>miwaru2@yahoo.co.jp</t>
  </si>
  <si>
    <t>弘明寺整形外科リハビリテーションクリニック　</t>
  </si>
  <si>
    <t>杉元紳太郎</t>
  </si>
  <si>
    <t>https://www.gumyoji-seikei.com/</t>
  </si>
  <si>
    <t>　045-715-0202</t>
  </si>
  <si>
    <t>nmfpj361@gmail.com　　gumyojikyouyou@gmail.com事務鈴木香織</t>
  </si>
  <si>
    <t>宮城整形外科　スポーツ・ウェルネスクリニック　　</t>
  </si>
  <si>
    <t>関口 拓矢</t>
  </si>
  <si>
    <t>https://miyagi-oswc.com/</t>
  </si>
  <si>
    <t>022-348-1820</t>
  </si>
  <si>
    <t>takuya040603@yahoo.co.jp</t>
  </si>
  <si>
    <t xml:space="preserve">医療法人 笑運舎　戸畑駅Fプラス整形外科　　 </t>
  </si>
  <si>
    <t>古子 剛</t>
  </si>
  <si>
    <t>https://fplus-seikei.com/</t>
  </si>
  <si>
    <t>093-873-0080</t>
  </si>
  <si>
    <t>furuko@fplus-seikei.com</t>
  </si>
  <si>
    <t>医療法人桂名会重工大須病院　　</t>
  </si>
  <si>
    <t>事務長</t>
  </si>
  <si>
    <t>堀本　浩二</t>
  </si>
  <si>
    <t>https://juko-osu-hp.jp/</t>
  </si>
  <si>
    <t>052-212-8981</t>
  </si>
  <si>
    <t>k-horimoto@cuc-jpn.com　　市瀬彦聡先生h-ichinose@keimeikai.or.jp</t>
  </si>
  <si>
    <t>岡田整形外科　　</t>
  </si>
  <si>
    <t>岡田洋和</t>
  </si>
  <si>
    <t>https://okadaseikei.jp/</t>
  </si>
  <si>
    <t>025-241-8608</t>
  </si>
  <si>
    <t>br1189@yahoo.co.jp</t>
  </si>
  <si>
    <t>間庭整形外科　</t>
  </si>
  <si>
    <t>間庭圭一</t>
  </si>
  <si>
    <t>https://maniwa-seikei.com/</t>
  </si>
  <si>
    <t>025-270-6100</t>
  </si>
  <si>
    <t>deepimpactfactor@yahoo.co.jp</t>
  </si>
  <si>
    <t>都立大整形外科クリニック　　</t>
  </si>
  <si>
    <t>山田　祐子</t>
  </si>
  <si>
    <t>https://ar-ex.jp/toritsudai</t>
  </si>
  <si>
    <t>03-6404-8550</t>
  </si>
  <si>
    <t>yamadayuuko1969@gmail.com　三浦　miura.syuhei.arex@gmail.com</t>
  </si>
  <si>
    <t>Haruクリニック　　</t>
  </si>
  <si>
    <t>尾本遥</t>
  </si>
  <si>
    <t>https://www.haru-clinic.net/</t>
  </si>
  <si>
    <t>06-6935-2727</t>
  </si>
  <si>
    <t>090-9095-1845</t>
  </si>
  <si>
    <t>haruka.omoto@gmail.com</t>
  </si>
  <si>
    <t>明大前整形外科クリニック　　</t>
  </si>
  <si>
    <t>成田　哲也</t>
  </si>
  <si>
    <t>https://ar-ex.jp/meidaimae</t>
  </si>
  <si>
    <t>03-6304-7681</t>
  </si>
  <si>
    <t xml:space="preserve">t08narita01@dream.com　竹内　t.hiroki.arex@gmail.com
</t>
  </si>
  <si>
    <t xml:space="preserve">
医療法人ベネヴォラ 磯見整形外科医院　　　</t>
  </si>
  <si>
    <t>磯見卓</t>
  </si>
  <si>
    <t>https://isomi-seikei.doctorsfile.jp/</t>
  </si>
  <si>
    <t>046-872-0558</t>
  </si>
  <si>
    <t>080-1233-3884</t>
  </si>
  <si>
    <t>iso.taku.33@gmail.com</t>
  </si>
  <si>
    <t>医療法人順愛会松宮整形外科　　</t>
  </si>
  <si>
    <t>副院長　院長松宮基英</t>
  </si>
  <si>
    <t>鈴木翔</t>
  </si>
  <si>
    <t>https://matsumiya-seikei.com/</t>
  </si>
  <si>
    <t>045-381-3888</t>
  </si>
  <si>
    <t>suzusho.2015@gmail.com</t>
  </si>
  <si>
    <t>医療法人名甲会　手とリハビリと整形外科東白壁クリニック</t>
  </si>
  <si>
    <t>山崎 真</t>
  </si>
  <si>
    <t>https://seikei-nagoya.com/</t>
  </si>
  <si>
    <t>090-2012-7426</t>
  </si>
  <si>
    <t>makoto.yamasaki.21@gmail.com</t>
  </si>
  <si>
    <t>なかお三国ペインクリニック　</t>
  </si>
  <si>
    <t>中尾謙太</t>
  </si>
  <si>
    <t>https://nakao-pain.com/</t>
  </si>
  <si>
    <t>06-6210-6301</t>
  </si>
  <si>
    <t>pain.pain.goaway@nakao-pain.com</t>
  </si>
  <si>
    <t>開業予定（個人）</t>
  </si>
  <si>
    <t>大林賢司</t>
  </si>
  <si>
    <t>818-0135
福岡県太宰府市向佐野1-4-12</t>
  </si>
  <si>
    <t>080-1744-0826</t>
  </si>
  <si>
    <t>big.kj.826@gmail.com</t>
  </si>
  <si>
    <t>医療法人メディカル・セブン福岡ペインケアクリニック　　</t>
  </si>
  <si>
    <t>坂井伸彰</t>
  </si>
  <si>
    <t>https://paincare.clinic/</t>
  </si>
  <si>
    <t>092-402-4022</t>
  </si>
  <si>
    <t>nobu4199@gmail.com</t>
  </si>
  <si>
    <t>開成くさやま整形外科リハビリクリニック</t>
  </si>
  <si>
    <t>草山喜洋</t>
  </si>
  <si>
    <t>https://kusayama-seikei.com/</t>
  </si>
  <si>
    <t>0465-20-8115</t>
  </si>
  <si>
    <t>090-8337-0310</t>
  </si>
  <si>
    <t>kusayama@hotmail.co.jp</t>
  </si>
  <si>
    <t>医療法人社団 西宮回生病院　　</t>
  </si>
  <si>
    <t>　院長 福西 成男</t>
  </si>
  <si>
    <t>杉本 啓紀</t>
  </si>
  <si>
    <t>https://kaiseihp.jp/</t>
  </si>
  <si>
    <t>0798-33-0601</t>
  </si>
  <si>
    <t>hironori19860122@gmail.com</t>
  </si>
  <si>
    <t>事務長 國見 祐季</t>
  </si>
  <si>
    <t>kunimi.yuuki@hmw.gr.jp</t>
  </si>
  <si>
    <t>南太田整形外科リハビリテーションクリニック　　</t>
  </si>
  <si>
    <t>大成健介</t>
  </si>
  <si>
    <t>https://m-ota-seikei.com/</t>
  </si>
  <si>
    <t>045-713-2220</t>
  </si>
  <si>
    <t>m.ota.seikei@gmail.com</t>
  </si>
  <si>
    <t>前田和彦</t>
  </si>
  <si>
    <t>https://kco-sports.jp/</t>
  </si>
  <si>
    <t>099-230-0777</t>
  </si>
  <si>
    <t>k.maeda@kco-sports.jp</t>
  </si>
  <si>
    <t>医療法人大田屋会 大田屋クリニック　　</t>
  </si>
  <si>
    <t>佐藤孝典</t>
  </si>
  <si>
    <t>https://ootayaclinic.com/</t>
  </si>
  <si>
    <t>0555-24-0678</t>
  </si>
  <si>
    <t>oooootaya@ootayaclinic.com</t>
  </si>
  <si>
    <t>江戸川区まつもと整形外科　　</t>
  </si>
  <si>
    <t>木佐森和樹</t>
  </si>
  <si>
    <t>https://www.emseikei.com/</t>
  </si>
  <si>
    <t>03-5678-9783</t>
  </si>
  <si>
    <t>080-5143-4779</t>
  </si>
  <si>
    <t>kisakazu0531@gmail.com</t>
  </si>
  <si>
    <t>木佐森絵里</t>
  </si>
  <si>
    <t>eri0428891@gmail.com　</t>
  </si>
  <si>
    <t>医療法人社団佳和会中山クリニック　</t>
  </si>
  <si>
    <t>中山潤一</t>
  </si>
  <si>
    <t>https://www.akashi-n-clinic.com/</t>
  </si>
  <si>
    <t>078-935-6060</t>
  </si>
  <si>
    <t>m3jun919@gmail.com</t>
  </si>
  <si>
    <t>主任　藤澤佳子様</t>
  </si>
  <si>
    <t>akashinakayamac@gmail.com</t>
  </si>
  <si>
    <t>三枝整形外科内科　　</t>
  </si>
  <si>
    <t>原康治</t>
  </si>
  <si>
    <t>茨城県</t>
  </si>
  <si>
    <t>https://saegusaseikeigekanaika.com/</t>
  </si>
  <si>
    <t>029-244-0011</t>
  </si>
  <si>
    <t>k23hara@gmail.com</t>
  </si>
  <si>
    <t>ふくだ整形外科リウマチ科　　</t>
  </si>
  <si>
    <t>福田明伸</t>
  </si>
  <si>
    <t>https://website2.infomity.net/8120000192/about/</t>
  </si>
  <si>
    <t>054-260-5678</t>
  </si>
  <si>
    <t>090-7881-9135</t>
  </si>
  <si>
    <t>fukudabone@gmail.com</t>
  </si>
  <si>
    <t>枚方大橋つじもと整形外科クリニック</t>
  </si>
  <si>
    <t>辻本武尊</t>
  </si>
  <si>
    <t>https://seikei-tsujimoto-clinic.com/</t>
  </si>
  <si>
    <t>072-841-0880</t>
  </si>
  <si>
    <t>090-7643-1522</t>
  </si>
  <si>
    <t>t.1105.tsujimoto@gmail.com</t>
  </si>
  <si>
    <t>辻本　真衣</t>
  </si>
  <si>
    <t>milkyoneone@outlook.jp</t>
  </si>
  <si>
    <t>医療法人財団健貢会総合東京病院　　</t>
  </si>
  <si>
    <t>院長 
渡邉 貞義</t>
  </si>
  <si>
    <t>内藤雅文</t>
  </si>
  <si>
    <t>165-0022東京都中野区江古田3丁目15-2</t>
  </si>
  <si>
    <t>https://www.tokyo-hospital.com/</t>
  </si>
  <si>
    <t>03-3387-5417</t>
  </si>
  <si>
    <t xml:space="preserve">
massa.tokaisoccer0318@gmail.com</t>
  </si>
  <si>
    <t>事務部　鈴木崇志</t>
  </si>
  <si>
    <t>takashi.suzuki@mt.strins.or.jp</t>
  </si>
  <si>
    <t>中村公一</t>
  </si>
  <si>
    <t>https://tsu-nakamuracl.com/</t>
  </si>
  <si>
    <t>059-269-5515</t>
  </si>
  <si>
    <t>090-2376-3004</t>
  </si>
  <si>
    <t>koichi.nakamura63@gmail.com</t>
  </si>
  <si>
    <t>公益財団法人　仙台市医療センター 仙台オープン病院</t>
  </si>
  <si>
    <t>院長 土屋　誉</t>
  </si>
  <si>
    <t>循環器内科　瀧井 暢　（たきい　わたる）</t>
  </si>
  <si>
    <t>983-0824 宮城県仙台市宮城野区鶴ケ谷五丁目２２番１</t>
  </si>
  <si>
    <t>022-252-1111</t>
  </si>
  <si>
    <t>080-1852-7125</t>
  </si>
  <si>
    <t>ttakii@openhp.or.jp</t>
  </si>
  <si>
    <t>soumu-kakari@openhp.or.jp</t>
  </si>
  <si>
    <t>井上　学</t>
  </si>
  <si>
    <t>祐天寺整形外科クリニック　　　</t>
  </si>
  <si>
    <t>富永雅巳</t>
  </si>
  <si>
    <t>153-0052　東京都目黒区祐天寺2-8-16祐天寺KITビル2階</t>
  </si>
  <si>
    <t>https://yutenji-seikei.jp/</t>
  </si>
  <si>
    <t>03-5773-5612</t>
  </si>
  <si>
    <t>090-8855-7457</t>
  </si>
  <si>
    <t>mtmd420@gmail.com</t>
  </si>
  <si>
    <t>中島整形外科医院</t>
  </si>
  <si>
    <t>中島一馬</t>
  </si>
  <si>
    <t>https://nakajima-seikei.com/</t>
  </si>
  <si>
    <t>042-366-2557</t>
  </si>
  <si>
    <t>clinic@nakajima-seikei.com</t>
  </si>
  <si>
    <t>原木中山駅前整形外科・リハビリテーション科</t>
  </si>
  <si>
    <t>加藤高英</t>
  </si>
  <si>
    <t>https://www.baraki-seikei.com/</t>
  </si>
  <si>
    <t>047-711-1852</t>
  </si>
  <si>
    <t>090-3789-8406</t>
  </si>
  <si>
    <t>kita.6158.1@gmail.com</t>
  </si>
  <si>
    <t>武田整形外科　</t>
  </si>
  <si>
    <t>武田健</t>
  </si>
  <si>
    <t>https://www.takeda-ort.com/</t>
  </si>
  <si>
    <t>0869-64-1221</t>
  </si>
  <si>
    <t>kentakeda99@gmail.com</t>
  </si>
  <si>
    <t>日本医大の形成　准教授</t>
  </si>
  <si>
    <t>小野真平</t>
  </si>
  <si>
    <t>s-ono@nms.ac.jp</t>
  </si>
  <si>
    <t>医療法人琉憲会 ナカイマ整形外科クリニック</t>
  </si>
  <si>
    <t>仲井間憲彦</t>
  </si>
  <si>
    <t>https://nakaimaseikei.com/</t>
  </si>
  <si>
    <t>0736-62-5558</t>
  </si>
  <si>
    <t>090-4302-6516</t>
  </si>
  <si>
    <t>nakaimaseikei@gmail.com</t>
  </si>
  <si>
    <t>bzq15056@gmail.com</t>
  </si>
  <si>
    <t>橋爪　浩二</t>
  </si>
  <si>
    <t>nakaimageka@outlook.jp</t>
  </si>
  <si>
    <t>医療法人やすらぎ 関内いしだ整形外科・脊椎クリニック</t>
  </si>
  <si>
    <t>石田航</t>
  </si>
  <si>
    <t>https://k-ishidacl.com/</t>
  </si>
  <si>
    <t>isikoh@gmail.com</t>
  </si>
  <si>
    <t>医療法人社団福田会 ふくだ整形外科</t>
  </si>
  <si>
    <t>福田朋博</t>
  </si>
  <si>
    <t>熊本県</t>
  </si>
  <si>
    <t>https://seikei-fukuda.jp/</t>
  </si>
  <si>
    <t>096-286-7391</t>
  </si>
  <si>
    <t>090-5085-1555</t>
  </si>
  <si>
    <t>tomohiro.fukuda.1101@gmail.com</t>
  </si>
  <si>
    <t>福田恵加</t>
  </si>
  <si>
    <t>ekatomo@khc.biglobe.ne.jp</t>
  </si>
  <si>
    <t>医療法人社団Shin谷口整形外科リハビリクリニック</t>
  </si>
  <si>
    <t>谷口真史</t>
  </si>
  <si>
    <t>https://taniguchiseikei.com/</t>
  </si>
  <si>
    <t>048-649-0789</t>
  </si>
  <si>
    <t>090-4542-4762</t>
  </si>
  <si>
    <t>ortho.tani@gmail.com</t>
  </si>
  <si>
    <t>医療法人社団順公会佐藤整形外科</t>
  </si>
  <si>
    <t>杉山陽一</t>
  </si>
  <si>
    <t>134-0083東京都江戸川区中葛西5-41-16 フローラル中葛西V</t>
  </si>
  <si>
    <t>https://www.sato-seikeigeka.or.jp/</t>
  </si>
  <si>
    <t>03-5658-5711</t>
  </si>
  <si>
    <t>090-7954-1523</t>
  </si>
  <si>
    <t>ysugiyama@sato-seikeigeka.or.jp</t>
  </si>
  <si>
    <t>yoichi.no.34@gmail.com</t>
  </si>
  <si>
    <t>大場　基</t>
  </si>
  <si>
    <t>soumu@sato-seikeigeka.or.jp</t>
  </si>
  <si>
    <t>新潟 骨とスポーツのクリニック</t>
  </si>
  <si>
    <t>山中力仁（ヤマナカリキト）</t>
  </si>
  <si>
    <t>https://honespo.jp/</t>
  </si>
  <si>
    <t>025-795-6975</t>
  </si>
  <si>
    <t>090-9882-5989</t>
  </si>
  <si>
    <t>niigata.honespo@gmail.com</t>
  </si>
  <si>
    <t>宮田邦久</t>
  </si>
  <si>
    <t>裕香整形外科</t>
  </si>
  <si>
    <t>矢嶋裕香</t>
  </si>
  <si>
    <t>https://yukaortho.jp/</t>
  </si>
  <si>
    <t>045-981-5252</t>
  </si>
  <si>
    <t>090-7739-4108</t>
  </si>
  <si>
    <t>yuhyuhka10@icloud.com</t>
  </si>
  <si>
    <t>yuhyuhka10@gmail.com</t>
  </si>
  <si>
    <t>平野絵里</t>
  </si>
  <si>
    <t>eriyuh0511@gmail.com</t>
  </si>
  <si>
    <t>医療法人　蜂須賀整形外科</t>
  </si>
  <si>
    <t>蜂須賀　晋</t>
  </si>
  <si>
    <t>https://www.hachisukaseikei.jp/index.php</t>
  </si>
  <si>
    <t>082-272-3300</t>
  </si>
  <si>
    <t>090-7449-2241</t>
  </si>
  <si>
    <t>koi@hachisuka-seikei.com</t>
  </si>
  <si>
    <t>s.hachisuka21@gmail.com</t>
  </si>
  <si>
    <t>医療法人社団主正会かわさきクリニック</t>
  </si>
  <si>
    <t>院長川崎　主税</t>
  </si>
  <si>
    <t>川崎　正樹</t>
  </si>
  <si>
    <t>https://kawasaki-clinic-hachioji.com/</t>
  </si>
  <si>
    <t>042-650-6655</t>
  </si>
  <si>
    <t>090-5568-2292</t>
  </si>
  <si>
    <t>machaki009@yahoo.co.jp</t>
  </si>
  <si>
    <t>医療法人真清の会新千歳クリニック</t>
  </si>
  <si>
    <t>理事長 宮井　保尚</t>
  </si>
  <si>
    <t>河野　哲也</t>
  </si>
  <si>
    <t>https://shinchitose-clinic.com/</t>
  </si>
  <si>
    <t>0123-22-8600</t>
  </si>
  <si>
    <t>090-1937-9461</t>
  </si>
  <si>
    <t>iwtbagdtk@gmail.com
y.miyai@shinseinokai.or.jp</t>
  </si>
  <si>
    <t>iwtbagdtk@gmail.com</t>
  </si>
  <si>
    <t>事務長　関根洸太</t>
  </si>
  <si>
    <t>k.sekine@shinseinokai.or.jp</t>
  </si>
  <si>
    <t>白山リハビリ整形外科</t>
  </si>
  <si>
    <t>楠元恵一</t>
  </si>
  <si>
    <t>https://hakusan-reha.jp/</t>
  </si>
  <si>
    <t>未</t>
  </si>
  <si>
    <t>oneness.katakamuna@gmail.com</t>
  </si>
  <si>
    <t>徳倉なかにし整形外科</t>
  </si>
  <si>
    <t>中西亮介</t>
  </si>
  <si>
    <t>https://tokura-nakanishi.com/</t>
  </si>
  <si>
    <t>055-941-6868</t>
  </si>
  <si>
    <t>090-4607-5231</t>
  </si>
  <si>
    <t>orthoryosuke0828@gmail.com</t>
  </si>
  <si>
    <t>医療法人社団松陽会　だい整形外科クリニック</t>
  </si>
  <si>
    <t>松本　大</t>
  </si>
  <si>
    <t>https://daiseikei.com/</t>
  </si>
  <si>
    <t>daiseikei24@gmail.com</t>
  </si>
  <si>
    <t>院長　松本　大
松本　亜弓</t>
  </si>
  <si>
    <t>daiseikei24@gmail.com
ayuponmatsu1980@gmail.com</t>
  </si>
  <si>
    <t>アスレティックス整形外科肩膝スポーツクリニック</t>
  </si>
  <si>
    <t>馬谷直樹</t>
  </si>
  <si>
    <t>https://athletics-clinic.jp/</t>
  </si>
  <si>
    <t>072-924-0700</t>
  </si>
  <si>
    <t>070-9003-0947</t>
  </si>
  <si>
    <t>naoki_umatani@yahoo.co.jp</t>
  </si>
  <si>
    <t>井出整形外科クリニック</t>
  </si>
  <si>
    <t>井出　学</t>
  </si>
  <si>
    <t>https://ide-orthopedic-clinic.com/</t>
  </si>
  <si>
    <t>045-242-5236</t>
  </si>
  <si>
    <t>090-2488-0324</t>
  </si>
  <si>
    <t>areamnb0416tmu@gmail.com</t>
  </si>
  <si>
    <t>足利整形外科はしもとクリニック</t>
  </si>
  <si>
    <t>橋本健</t>
  </si>
  <si>
    <t>https://ashisei-hashimoto.com/</t>
  </si>
  <si>
    <t>0284-64-9617</t>
  </si>
  <si>
    <t>090-9979-2397</t>
  </si>
  <si>
    <t>hkenh@coral.ocn.ne.jp</t>
  </si>
  <si>
    <t>naomishunyuto@gmail.com</t>
  </si>
  <si>
    <t>院長　橋本健
橋本直美</t>
  </si>
  <si>
    <t>hkenh@coral.ocn.ne.jp 
naomishunh@yahoo.co.jp</t>
  </si>
  <si>
    <t>井土ヶ谷整形外科リハビリクリニック</t>
  </si>
  <si>
    <t>原　正道</t>
  </si>
  <si>
    <t>https://idogaya-seikei.com/</t>
  </si>
  <si>
    <t>045-741-0010</t>
  </si>
  <si>
    <t>090-1669-2944</t>
  </si>
  <si>
    <t>idogayaseikei@gmail.com</t>
  </si>
  <si>
    <t>医療法人きやま整形外科痛みとリハビリクリニック</t>
  </si>
  <si>
    <t>木山洋之</t>
  </si>
  <si>
    <t>https://kiyama-seikei.com/</t>
  </si>
  <si>
    <t>kiyamahiroyuki@gmail.com</t>
  </si>
  <si>
    <t>医療法人社団さの整形外科クリニック</t>
  </si>
  <si>
    <t>佐野 敦樹</t>
  </si>
  <si>
    <t>940-1161 新潟県長岡市左近３丁目６２－１</t>
  </si>
  <si>
    <t>https://www.sano-seikei.com/</t>
  </si>
  <si>
    <t>cbe90900@yahoo.co.jp</t>
  </si>
  <si>
    <t>田中健太</t>
  </si>
  <si>
    <t>chattymachine2000@yahoo.co.jp</t>
  </si>
  <si>
    <t>医療法人社団光明会 山本整形外科</t>
  </si>
  <si>
    <t>理事長 荒川重光</t>
  </si>
  <si>
    <t>飯田曜子</t>
  </si>
  <si>
    <t>https://www.yamamotoseikeigeka-mito.com/</t>
  </si>
  <si>
    <t>salmon101044@gmail.com</t>
  </si>
  <si>
    <t>医療法人安祥会松井整形外科</t>
  </si>
  <si>
    <t>西尾　真</t>
  </si>
  <si>
    <t>https://matsuiseikei.ansyokai.or.jp/</t>
  </si>
  <si>
    <t>mnishio@fujita-hu.ac.jp</t>
  </si>
  <si>
    <t>nishiomakotomatui@gmail.com</t>
  </si>
  <si>
    <t>医療法人社団智孝会錦野クリニック</t>
  </si>
  <si>
    <t>副院長・理事</t>
  </si>
  <si>
    <t>錦野匠一</t>
  </si>
  <si>
    <t>https://www.nishikino.net/</t>
  </si>
  <si>
    <t>054－636－5000</t>
  </si>
  <si>
    <t>090－1566－8383</t>
  </si>
  <si>
    <t>n.shoichi0518@gmail.com</t>
  </si>
  <si>
    <t>副院長・理事 錦野匠一
大内　浩嗣</t>
  </si>
  <si>
    <t>n.shoichi0518@gmail.com 
jimu@nishikino.net</t>
  </si>
  <si>
    <t>医療法人斉良会　うらはし整形外科クリニック</t>
  </si>
  <si>
    <t>浦橋　斉悟</t>
  </si>
  <si>
    <t>https://www.urahashiseikei.com/</t>
  </si>
  <si>
    <t>093-614-6311</t>
  </si>
  <si>
    <t>090-5936-9259</t>
  </si>
  <si>
    <t>sorakira926@icloud.com</t>
  </si>
  <si>
    <t>理事長 浦橋斉悟
奥野　菜美子</t>
  </si>
  <si>
    <t>sorakira926@icloud.com
urahasi.clinic@gmail.com</t>
  </si>
  <si>
    <t>医療法人順成堂古川宮田整形外科内科クリニック</t>
  </si>
  <si>
    <t>古川敬三</t>
  </si>
  <si>
    <t>https://www.fm-clinic.jp/</t>
  </si>
  <si>
    <t>fm.clinic.nagasaki@gmail.com</t>
  </si>
  <si>
    <t>なごみ整形外科リウマチクリニック</t>
  </si>
  <si>
    <t>中谷　宏幸</t>
  </si>
  <si>
    <t>https://nagomi-seikei-riumachi.com/</t>
  </si>
  <si>
    <t>072-622-4020</t>
  </si>
  <si>
    <t>090-4648-8297</t>
  </si>
  <si>
    <t>hironakaya@hotmail.co.jp</t>
  </si>
  <si>
    <t>医療法人社団善用会講道館ビルクリニック</t>
  </si>
  <si>
    <t>木田　将量</t>
  </si>
  <si>
    <t>https://kodokan.jp/</t>
  </si>
  <si>
    <t>03-5842-6311</t>
  </si>
  <si>
    <t>090-9671-5503</t>
  </si>
  <si>
    <t>masakazu.kida@gmail.com</t>
  </si>
  <si>
    <t>しまづ整形外科クリニック</t>
  </si>
  <si>
    <t>嶋津 大輔</t>
  </si>
  <si>
    <t>https://shimazu-seikei.com/</t>
  </si>
  <si>
    <t>092-504-7557</t>
  </si>
  <si>
    <t>080-2774-0506</t>
  </si>
  <si>
    <t>shimazu.daisuke.1207@gmail.com</t>
  </si>
  <si>
    <t>医療法人優和会　ながみね田村整形外科</t>
  </si>
  <si>
    <t>理事長 田村 和弘</t>
  </si>
  <si>
    <t>田村 諭史</t>
  </si>
  <si>
    <t>https://nagaminetamura.com/</t>
  </si>
  <si>
    <t>michan-michan@vir.bbiq.jp</t>
  </si>
  <si>
    <t>tamuratamura0822@gmail.com</t>
  </si>
  <si>
    <t>田村 諭史
田村 優佳</t>
  </si>
  <si>
    <t>yuwakai0210@gmail.com
michan-michan@vir.bbiq.jp</t>
  </si>
  <si>
    <t>医療法人社団美咲会えびえ記念病院</t>
  </si>
  <si>
    <t>理事長 八竹　健司</t>
  </si>
  <si>
    <t>松村　健一
経営企画室　次長水野　信</t>
  </si>
  <si>
    <t>https://ebiekinen-hospital.jp/index.html</t>
  </si>
  <si>
    <t>06-6458-7171</t>
  </si>
  <si>
    <t>090-9568-3997</t>
  </si>
  <si>
    <t>ortho9910@icloud.com</t>
  </si>
  <si>
    <t>mizuno@ebiekinen-hospital.jp</t>
  </si>
  <si>
    <t>経営企画室　次長　水野　信</t>
  </si>
  <si>
    <t>流山整形外科ペインクリニック　</t>
  </si>
  <si>
    <t>三好亮輔</t>
  </si>
  <si>
    <t>https://nagareyama-seikeipain.com/</t>
  </si>
  <si>
    <t>nagareyama.seikeipain@gmail.com</t>
  </si>
  <si>
    <t>足立慶友整形外科</t>
  </si>
  <si>
    <t>理事長　北城 雅照</t>
  </si>
  <si>
    <t>今西佑</t>
  </si>
  <si>
    <t>https://clinic.adachikeiyu.com/</t>
  </si>
  <si>
    <t>03-5845-8900</t>
  </si>
  <si>
    <t>m.kitashiro@adachikeiyu.com</t>
  </si>
  <si>
    <t>augustburnsredtask@gmail.com</t>
  </si>
  <si>
    <t>h.yamazaki@adachikeiyu.com</t>
  </si>
  <si>
    <t>いしばし整形外科</t>
  </si>
  <si>
    <t>石橋　正二郎</t>
  </si>
  <si>
    <t>https://i-or.net/</t>
  </si>
  <si>
    <t>0942-27-5778</t>
  </si>
  <si>
    <t>090-7537-3830</t>
  </si>
  <si>
    <t>shohiro122i@gmail.com</t>
  </si>
  <si>
    <t>医療法人 海の中道整形外科</t>
  </si>
  <si>
    <t>中村 哲郎</t>
  </si>
  <si>
    <t>https://n-ortho.com/</t>
  </si>
  <si>
    <t>092-608-0066</t>
  </si>
  <si>
    <t>090-5025-3106</t>
  </si>
  <si>
    <t>samatetsu@gmail.com</t>
  </si>
  <si>
    <t>医療法人　心愛会 TOWN訪問診療所板橋</t>
  </si>
  <si>
    <t>坂元　博</t>
  </si>
  <si>
    <t>https://townhomecare.com/itabashi.html</t>
  </si>
  <si>
    <t>03-5964-5302</t>
  </si>
  <si>
    <t>090-7150-2086</t>
  </si>
  <si>
    <t>haiji.hiro.ss@gmail.com</t>
  </si>
  <si>
    <t>つねとう痛みのクリニック</t>
  </si>
  <si>
    <t>恒遠　剛示</t>
  </si>
  <si>
    <t>https://www.tsune-itm.com/</t>
  </si>
  <si>
    <t>06-6607-8888</t>
  </si>
  <si>
    <t>080-2415-0821</t>
  </si>
  <si>
    <t>siegfried0821@gmail.com</t>
  </si>
  <si>
    <t>Clinique Haru Osaka-Umeda</t>
  </si>
  <si>
    <t>西田晴彦</t>
  </si>
  <si>
    <t>https://www.clinique-haru-osaka.com/</t>
  </si>
  <si>
    <t>06-6225-8184</t>
  </si>
  <si>
    <t>090-3465-9631</t>
  </si>
  <si>
    <t>haru@clinique-haru-osaka.com</t>
  </si>
  <si>
    <t>haru08280828@gmail.com</t>
  </si>
  <si>
    <t>西永福整形外科クリニック</t>
  </si>
  <si>
    <t>東　　航</t>
  </si>
  <si>
    <t>https://nishieifuku-seikei.com/</t>
  </si>
  <si>
    <t>03-3324-0780</t>
  </si>
  <si>
    <t>090-4094-4039</t>
  </si>
  <si>
    <t>higashi.ort@gmail.com</t>
  </si>
  <si>
    <t>医療法人社団　悠誠会 ふくむら整形外科</t>
  </si>
  <si>
    <t>福村　英信</t>
  </si>
  <si>
    <t>https://fukumura-seikeigeka.jp/</t>
  </si>
  <si>
    <t>045-881-2929</t>
  </si>
  <si>
    <t>080-4901-9029</t>
  </si>
  <si>
    <t>hidenobu6189@gmail.com</t>
  </si>
  <si>
    <t>医療法人 わたなべ整形外科クリニック</t>
  </si>
  <si>
    <t>渡邊　匡能</t>
  </si>
  <si>
    <t>https://watanabeortho.jp/</t>
  </si>
  <si>
    <t>093-616-9880</t>
  </si>
  <si>
    <t>090-5081-7693</t>
  </si>
  <si>
    <t>watanabe.ortho.clinic@gmail.com</t>
  </si>
  <si>
    <t>医療法人　健悠会 清水整形外科クリニック</t>
  </si>
  <si>
    <t>清水富永</t>
  </si>
  <si>
    <t>http://shimizu-seikei.jp/</t>
  </si>
  <si>
    <t>0263-38-3366</t>
  </si>
  <si>
    <t>090-4158-6673</t>
  </si>
  <si>
    <t>simisimi5555@gmail.com</t>
  </si>
  <si>
    <t>町田心臓血管外科・長引く痛みのクリニック</t>
  </si>
  <si>
    <t>医療法人社団青泉会 下北沢病院</t>
  </si>
  <si>
    <t>菊池恭太</t>
  </si>
  <si>
    <t>https://shimokitazawa-hp.or.jp/</t>
  </si>
  <si>
    <t>03-3460-0300</t>
  </si>
  <si>
    <t>090-9681-1470</t>
  </si>
  <si>
    <t>kyota.k.doc@outlook.com</t>
  </si>
  <si>
    <t>kyota.k.doc@gmail.com</t>
  </si>
  <si>
    <t>堀江秋弘（近日担当者が変わる可能性があるので、菊池恭太にもメール送信お願いいたします。</t>
  </si>
  <si>
    <t>ahorie@shimokitazawa-hp.or.jp
（菊池恭太　kyota.k.doc@outlook.com)</t>
  </si>
  <si>
    <t>※</t>
  </si>
  <si>
    <t>公立大学法人 横浜市立大学附属病院</t>
  </si>
  <si>
    <t>病院長</t>
  </si>
  <si>
    <t>遠藤　格</t>
  </si>
  <si>
    <t>https://www.yokohama-cu.ac.jp/fukuhp/index.html</t>
  </si>
  <si>
    <t>045-787-2800</t>
  </si>
  <si>
    <t>045-787-2893</t>
  </si>
  <si>
    <t>morishima.sen.cj@yokohama-cu.ac.jp</t>
  </si>
  <si>
    <t>森嶋　千渚（事務：医事課 医事請求担当）</t>
  </si>
  <si>
    <t>おおばやし整形外科形成外科クリニック</t>
  </si>
  <si>
    <t>https://obayashi-cl.com/</t>
  </si>
  <si>
    <t>092-401-7755</t>
  </si>
  <si>
    <t>医療法人社団DM会 成田センタークリニック</t>
  </si>
  <si>
    <t>理事長 安　徳純</t>
  </si>
  <si>
    <t>安　宰成</t>
  </si>
  <si>
    <t>https://narita-centerclinic.com/</t>
  </si>
  <si>
    <t>0476-20-1002</t>
  </si>
  <si>
    <t>070-9071-0319</t>
  </si>
  <si>
    <t>anj.ortho@gmail.com</t>
  </si>
  <si>
    <t>横山 (事務長)</t>
  </si>
  <si>
    <t>yokotetsu6obc6@gmail.com</t>
  </si>
  <si>
    <t>医療法人カイナ土井整形クリニック</t>
  </si>
  <si>
    <t>土井　順博</t>
  </si>
  <si>
    <t>http://www.doiseikei.com/</t>
  </si>
  <si>
    <t>073-426-0555</t>
  </si>
  <si>
    <t>090-3261-3679</t>
  </si>
  <si>
    <t>keinobu23@yahoo.co.jp</t>
  </si>
  <si>
    <t>医療法人社団山雅会 山川クリニック</t>
  </si>
  <si>
    <t>山川智之</t>
  </si>
  <si>
    <t>https://www.yamakawa-clinic-09.com/</t>
  </si>
  <si>
    <t>03-6304-7728</t>
  </si>
  <si>
    <t>090-5509-3272</t>
  </si>
  <si>
    <t>t.yamakawa.clinic@gmail.com</t>
  </si>
  <si>
    <t>日本赤十字社 那須赤十字病院</t>
  </si>
  <si>
    <t>井上晃男　放射線科診療部長塩山靖和</t>
  </si>
  <si>
    <t>https://www.nasu.jrc.or.jp/</t>
  </si>
  <si>
    <t>waterman008@gmail.com</t>
  </si>
  <si>
    <t>総務課 新江</t>
  </si>
  <si>
    <t>nrchp@nasu.jrc.or.jp</t>
  </si>
  <si>
    <t>ペインクリニック芦屋ピッコロ診療所</t>
  </si>
  <si>
    <t>中村武人</t>
  </si>
  <si>
    <t>https://piccolo-clinic.com/</t>
  </si>
  <si>
    <t>0797-25-1347</t>
  </si>
  <si>
    <t>090-4282-7520</t>
  </si>
  <si>
    <t>piccolo.clinic@gmail.com</t>
  </si>
  <si>
    <t>医療法人社団　晃和会　 にしむらクリニック</t>
  </si>
  <si>
    <t>西村光滋</t>
  </si>
  <si>
    <t>https://nishimura-clinic-sonoda.jp/</t>
  </si>
  <si>
    <t>06-6497-3332</t>
  </si>
  <si>
    <t>090-5660-4843</t>
  </si>
  <si>
    <t>kazu9313@hotmail.co.jp</t>
  </si>
  <si>
    <t>医療法人仁泉会 丸山整形外科</t>
  </si>
  <si>
    <t>丸山征爾</t>
  </si>
  <si>
    <t>https://www.maruyama-seikei.com/</t>
  </si>
  <si>
    <t>073-422-1727</t>
  </si>
  <si>
    <t>090-7482-2282</t>
  </si>
  <si>
    <t>maru99084@yahoo.co.jp</t>
  </si>
  <si>
    <t>医療法人社団宏仁会 若山整形外科</t>
  </si>
  <si>
    <t>若山大己</t>
  </si>
  <si>
    <t>https://www.wakayama-seikei.com/</t>
  </si>
  <si>
    <t>03-5920-5350</t>
  </si>
  <si>
    <t>080-1298-6639</t>
  </si>
  <si>
    <t>daiki.wakayama22@gmail.com</t>
  </si>
  <si>
    <t>医療法人くすのき会 新門整形外科</t>
  </si>
  <si>
    <t>理事長　新門裕三</t>
  </si>
  <si>
    <t>當房翠</t>
  </si>
  <si>
    <t>https://www.shinkado-seikei.com/</t>
  </si>
  <si>
    <t>0996-21-1661</t>
  </si>
  <si>
    <t>090-3660-2558</t>
  </si>
  <si>
    <t>midori.s010701@icloud.com</t>
  </si>
  <si>
    <t>前之園由梨恵</t>
  </si>
  <si>
    <t>医療法人Tetoteおかだ整形外科スポーツ・リハビリクリニック</t>
  </si>
  <si>
    <t>岡田　貴充</t>
  </si>
  <si>
    <t>https://o-oc.net/</t>
  </si>
  <si>
    <t>0942-36-7755</t>
  </si>
  <si>
    <t>090-1168-0060</t>
  </si>
  <si>
    <t>taka6662@gmail.com</t>
  </si>
  <si>
    <t>岡田奈理加</t>
  </si>
  <si>
    <t>narika717@outlook.jp</t>
  </si>
  <si>
    <t>勇誠会 浦和こうゆうクリニック</t>
  </si>
  <si>
    <t>公平勇二</t>
  </si>
  <si>
    <t>048-753-9827</t>
  </si>
  <si>
    <t>090-1074-4464</t>
  </si>
  <si>
    <t>yuseikai0820@outlook.jp</t>
  </si>
  <si>
    <t>永井純子</t>
  </si>
  <si>
    <t>yuseikai2020@outlook.jp</t>
  </si>
  <si>
    <t>面谷　透</t>
    <phoneticPr fontId="1"/>
  </si>
  <si>
    <t>郵便番号</t>
    <rPh sb="0" eb="4">
      <t>ユウビンバンゴウ</t>
    </rPh>
    <phoneticPr fontId="1"/>
  </si>
  <si>
    <t>182-0033 
東京都調布市富士見町1丁目6−2 TAOビル 3F</t>
  </si>
  <si>
    <t>751-0806 
山口県下関市一の宮町 3丁目11-3</t>
  </si>
  <si>
    <t>850-0013
長崎県長崎市中川町1-8-3</t>
  </si>
  <si>
    <t>630-8441　
奈良県奈良市神殿町644-1</t>
  </si>
  <si>
    <t>573-0163 
大阪府枚方市長尾元町2丁目1-21</t>
  </si>
  <si>
    <t>257-0035 
神奈川県秦野市本町1丁目3−1</t>
  </si>
  <si>
    <t>870-0265
大分県大分市竹下2丁目126番地</t>
  </si>
  <si>
    <t>460-0005
愛知県名古屋市中区東桜2丁目22-18　日興ビルヂング1F-1号</t>
  </si>
  <si>
    <t>546-0035
大阪府大阪市東住吉区山坂5丁目5-23</t>
  </si>
  <si>
    <t>041−0811
北海道函館市富岡町3−16−10　緑色の家
【2/8再送先住所】040-0044
北海道函館市青柳町10ｰ3ロイヤルシティ2番館青柳407号室</t>
  </si>
  <si>
    <t>444-0838　
愛知県岡崎市羽根西1丁目6-4</t>
  </si>
  <si>
    <t>270-0157　
千葉県流山市平和台4-5-43-2F</t>
  </si>
  <si>
    <t>560-0005　
大阪府豊中市西緑丘1丁目1番31 Crice Nikko緑丘2F</t>
  </si>
  <si>
    <t>901-2102 
沖縄県浦添市前田1丁目11番1号</t>
  </si>
  <si>
    <t>123-0843
東京都足立区西新井栄町2丁目3-3さくら参道ビル4階</t>
  </si>
  <si>
    <t>164-0012
東京都中野区本町6-13-8 新中野神谷ビル 3F</t>
  </si>
  <si>
    <t>838-0068 
福岡県朝倉市甘木２０７２−１</t>
  </si>
  <si>
    <t>739-1733
広島県広島市安佐北区口田南8-14-13</t>
  </si>
  <si>
    <t>323-0826
栃木県小山市雨ヶ谷824-18
事務長　石橋義仁様</t>
  </si>
  <si>
    <t>191-0021
東京都日野市石田2-9-17</t>
  </si>
  <si>
    <t>103-0012
東京都中央区日本橋堀留町 1-8-12 ホウライ堀留ビル3F</t>
  </si>
  <si>
    <t>558-0013
大阪府大阪市住吉区我孫子東2丁目4-29</t>
  </si>
  <si>
    <t>950-2112 
新潟県新潟市西区内野町53-5</t>
  </si>
  <si>
    <t>929-0326
石川県河北郡津幡町清水ア25</t>
  </si>
  <si>
    <t>251-0028
神奈川県藤沢市本鵠沼3-12-37-2F</t>
  </si>
  <si>
    <t>201-0003
東京都狛江市和泉本町3-12-6
書類の郵送は本院住所、福西様宛</t>
  </si>
  <si>
    <t>201-0012
東京都狛江市中和泉5-32-8 プリマヴェーラ1階
書類の郵送は本院住所、福西様宛</t>
  </si>
  <si>
    <t>190-0021
東京都立川市羽衣町2-49-7</t>
  </si>
  <si>
    <t>662-0912 
兵庫県西宮市松原町3-3</t>
  </si>
  <si>
    <t>700-0017
岡山県岡山市北区伊島北町6-3
地域連携企画室　大田原隆博様</t>
  </si>
  <si>
    <t>762-0025
香川県坂出市川津町2730番地</t>
  </si>
  <si>
    <t>731-0221
広島県広島市安佐北区可部5丁目14-12</t>
  </si>
  <si>
    <t>251-0021
神奈川県藤沢市鵠沼神明5-14-15</t>
  </si>
  <si>
    <t>411-0856
静岡県三島市広小路町9−16
クボタハイツ1階</t>
  </si>
  <si>
    <t>465-0097
愛知県名古屋市名東区平和が丘1丁目10番地</t>
  </si>
  <si>
    <t>444-0852
愛知県岡崎市南明大寺町3番地10</t>
  </si>
  <si>
    <t>359-0047
埼玉県所沢市花園3丁目2374-7</t>
  </si>
  <si>
    <t>892-0823
鹿児島県鹿児島市住吉町12-16
事務長　丸山　早央里様</t>
  </si>
  <si>
    <t>158-0082
東京都世田谷区等々力4-13-1　榎本様宛</t>
  </si>
  <si>
    <t>386-0018
長野県上田市常田2-15-16　安田様宛</t>
  </si>
  <si>
    <t>899-0212 
鹿児島県出水市上知識町856</t>
  </si>
  <si>
    <t>920-0842 
石川県金沢市元町2丁目20番23号</t>
  </si>
  <si>
    <t>060-0061
北海道札幌市中央区南1条西14丁目291-81 ウィステリア南1条ビル3F</t>
  </si>
  <si>
    <t>191-0031
東京都日野市高幡1009-4</t>
  </si>
  <si>
    <t>206-0823
東京都稲城市平尾4-24−1</t>
  </si>
  <si>
    <t>213-0001
神奈川県川崎市高津区溝口1-5-2</t>
  </si>
  <si>
    <t>444-0015
愛知県岡崎市中町長狭間12-4（柵木先生個人宅）</t>
  </si>
  <si>
    <t>238-0031
神奈川県横須賀市衣笠栄町2-1-2　夢Qビル1F
【開業前郵送先】
237-0066神奈川県横須賀市湘南鷹取3-8-6　手塚　太郎様</t>
  </si>
  <si>
    <t>111-0055
東京都台東区三筋1-7-3 MDX浅草橋4F</t>
  </si>
  <si>
    <t>471-0835
愛知県豊田市曙町2丁目16番地 BULS16 103号</t>
  </si>
  <si>
    <t>887-0021
宮崎県日南市中央通2-3-5</t>
  </si>
  <si>
    <t>399-0703
長野県塩尻市広丘高出2199-2</t>
  </si>
  <si>
    <t>640-8444
和歌山県和歌山市次郎丸167-2</t>
  </si>
  <si>
    <t>732-0014
広島県広島市東区戸坂大上4丁目29番13号</t>
  </si>
  <si>
    <t>385-0055
長野県佐久市三塚191−36</t>
  </si>
  <si>
    <t>530-0001
大阪府大阪市北区梅田3-4-5毎日インテシオ2階</t>
  </si>
  <si>
    <t>201-0002
東京都狛江市東野川2-20-5エストヴィアン1F</t>
  </si>
  <si>
    <t>062-0932
北海道札幌市豊平区平岸2条7丁目3-1アルファビルⅣ 3階</t>
  </si>
  <si>
    <t>514-0826
三重県津市野田33-3</t>
  </si>
  <si>
    <t>194-0035
東京都町田市忠生2丁目28-7
ロイヤルヒルズK1階</t>
  </si>
  <si>
    <t>270-0119　
千葉県流山市おおたかの森北3-2-17</t>
  </si>
  <si>
    <t>424-0847
静岡県静岡市清水区大坪2丁目6番1号</t>
  </si>
  <si>
    <t>474-0035 
愛知県大府市江端町3-76</t>
  </si>
  <si>
    <t>064-0953 
北海道札幌市中央区宮の森3条12丁目1-1 愛生舘ラボ</t>
  </si>
  <si>
    <t>669-5102
兵庫県朝来市山東町大垣61-2</t>
  </si>
  <si>
    <t>060-0041 
北海道札幌市中央区大通東4丁目1-19
大通東やまむらセンタービル</t>
  </si>
  <si>
    <t>425-0073
静岡県焼津市小柳津210</t>
  </si>
  <si>
    <t>153-0044
東京都目黒区大橋2-22-42 No.R池尻大橋4階
【開業前郵送先住所（自宅）】102-0081　東京都千代田区四番町4-6-1107</t>
  </si>
  <si>
    <t>251-0024
神奈川県藤沢市鵠沼橘1-1-1 第2外岡ビル3階</t>
  </si>
  <si>
    <t>270-1350
千葉県印西市中央北1−１APOLLO PLANT MALL 2F
【開業前郵送先住所（自宅）】270-1318　千葉県印西市小林2004-5</t>
  </si>
  <si>
    <t>231-0057
神奈川県横浜市中区曙町2-19-1 曙町新井ビル1F</t>
  </si>
  <si>
    <t>224-0053
神奈川県横浜市都筑区池辺町4556-18（清水先生個人宅）</t>
  </si>
  <si>
    <t>850-0056
長崎県長崎市恵美須町4-1</t>
  </si>
  <si>
    <t>814-0002
福岡県福岡市早良区西新4丁目9-35　真栄ビル3階</t>
  </si>
  <si>
    <t>790-0056
愛媛県松山市土居田町424-1</t>
  </si>
  <si>
    <t>405-0018
山梨県山梨市上神内川1309</t>
  </si>
  <si>
    <t>165-0032
東京都中野区鷺宮四丁目2番3号　協立ビル2階
書類の郵送は本院住所、福西様宛</t>
  </si>
  <si>
    <t>983-0039
宮城県仙台市宮城野区新田東1-9-1</t>
  </si>
  <si>
    <t>561-0802
大阪府豊中市曽根東町2丁目1番1号3階
【開業前郵送先住所】658-0072 兵庫県神戸市東灘区岡本7-21-2</t>
  </si>
  <si>
    <t>335-0021 
埼玉県戸田市新曽1935-3 F.Azalea 1F</t>
  </si>
  <si>
    <t>855-0863
長崎県島原市親和町丁3565-11</t>
  </si>
  <si>
    <t>553-0003
大阪府大阪市福島区福島6-13-4</t>
  </si>
  <si>
    <t>409-0112
山梨県上野原市上野原3785-1</t>
  </si>
  <si>
    <t xml:space="preserve">
569-1121 
大阪府高槻市真上町1-3-28</t>
  </si>
  <si>
    <t>703-8265
岡山県岡山市中区倉田567-1</t>
  </si>
  <si>
    <t>910-0859
福井県福井市日之出4-11-17</t>
  </si>
  <si>
    <t>790-0011
愛媛県松山市千舟町4丁目4-6
【開業前郵送先住所（自宅）】790-0923　愛媛県松山市北久米町741-2</t>
  </si>
  <si>
    <t>463-0067
愛知県名古屋市守山区守山2丁目18番22号</t>
  </si>
  <si>
    <t>158-0097 
東京都世田谷区用賀4丁目9-12-3階</t>
  </si>
  <si>
    <t>367-0030
埼玉県本庄市早稲田の杜5丁目10-8</t>
  </si>
  <si>
    <t>543-0056 
大阪府大阪市天王寺区堀越町11-11 天王寺ガーデンスクエア2F</t>
  </si>
  <si>
    <t>873-0001
大分県杵築市杵築665番地655</t>
  </si>
  <si>
    <t>240-0054　
神奈川県横浜市保土ヶ谷区西谷4-5-1</t>
  </si>
  <si>
    <t>819-0161 
福岡県福岡市西区今宿東２丁目２３−番15</t>
  </si>
  <si>
    <t>660-0861 
兵庫県尼崎市御園町２２</t>
  </si>
  <si>
    <t>910-0017 
福井県福井市文京２丁目１−１５</t>
  </si>
  <si>
    <t>343-0823 　
埼玉県越谷市相模町3-139-1</t>
  </si>
  <si>
    <t>466-0051
愛知県名古屋市昭和区御器所２−１−３４　STELLA305</t>
  </si>
  <si>
    <t>486-0807 
愛知県春日井市大手町４丁目７−１</t>
  </si>
  <si>
    <t>386-1214 
長野県上田市下之郷乙346-7</t>
  </si>
  <si>
    <t>854-0034 
長崎県諫早市小野町３３２</t>
  </si>
  <si>
    <t>294-0037　
千葉県館山市長須賀309-1</t>
  </si>
  <si>
    <t>640-8322
和歌山県和歌山市秋月474-1</t>
  </si>
  <si>
    <t xml:space="preserve">550-0005
大阪府大阪市西区西本町１丁目４−１ オリックス本町ビル２階
</t>
  </si>
  <si>
    <t>436-0025
静岡県掛川市下俣69番地の17号</t>
  </si>
  <si>
    <t>636-0002 奈良県北葛城郡王寺町王寺2丁目6-4 クレール吉田3F</t>
  </si>
  <si>
    <t>192-0085　東京都八王子市中町5-1</t>
  </si>
  <si>
    <t>815-0063 福岡県福岡市南区柳河内2-10-50</t>
  </si>
  <si>
    <t>655-0051 兵庫県神戸市垂水区舞多聞西５丁目１−３ノアすこやかプラザ舞多聞クリニックモール1F</t>
  </si>
  <si>
    <t>232-0066神奈川県横浜市南区六ッ川1-81 FHCビル3階</t>
  </si>
  <si>
    <t>981-3620 宮城県黒川郡大和町しあわせの杜8番地の11</t>
  </si>
  <si>
    <t>804-0067 福岡県北九州市戸畑区汐井町１番１号 戸畑駅２階</t>
  </si>
  <si>
    <t>460-0017
愛知県名古屋市中区松原二丁目17番5号</t>
  </si>
  <si>
    <t>950-0905
新潟県新潟市中央区天神尾2-11-2</t>
  </si>
  <si>
    <t>950-0871 新潟県新潟市東区山木戸８丁目９−３７</t>
  </si>
  <si>
    <t xml:space="preserve"> 152-0032
東京都目黒区平町１丁目２６−３ スミール都立大 2F　請求書送付385-0061
長野県佐久市岩村田1109-4
医療法人アレックス
木内宛kiuchi-yuki@ar-ex.jp</t>
  </si>
  <si>
    <t>538-0053大阪府大阪市鶴見区鶴見3-5-12　尾本ビル3階</t>
  </si>
  <si>
    <t xml:space="preserve"> 156-0043
東京都世田谷区松原１丁目３８−２５　　請求書送付385-0061
長野県佐久市岩村田1109-4
kiuchi-yuki@ar-ex.jp医療法人アレックス
木内宛</t>
  </si>
  <si>
    <t>2480017神奈川県逗子市久木8－20－17</t>
  </si>
  <si>
    <t>241-0022 神奈川県横浜市旭区鶴ケ峰２丁目２３−７ 松宮ビル</t>
  </si>
  <si>
    <t xml:space="preserve">461-0011
愛知県名古屋市東区白壁三丁目22番22号
</t>
  </si>
  <si>
    <t>532-0005
大阪府大阪市淀川区三国本町3-7-16　三国本町クリニックビル3階</t>
  </si>
  <si>
    <t>810-0801 
福岡県福岡市博多区中洲5丁目2-3松居壹番館7階</t>
  </si>
  <si>
    <t>258-0029
神奈川県足柄上郡開成町みなみ4-5-7</t>
  </si>
  <si>
    <t>662-0957 兵庫県西宮市大浜町1-4</t>
  </si>
  <si>
    <t xml:space="preserve">
232-0006 神奈川県横浜市南区南太田１丁目２３−１３ レジデンスヨコハマ南</t>
  </si>
  <si>
    <t>890-0053 
鹿児島県鹿児島市中央町24-12 新福ビル1F-4F</t>
  </si>
  <si>
    <t>403-0005 山梨県富士吉田市上吉田５丁目８−３</t>
  </si>
  <si>
    <t>133-0043
東京都江戸川区松本1-34-7 3F</t>
  </si>
  <si>
    <t>674-0071　兵庫県明石市魚住町金ヶ崎370</t>
  </si>
  <si>
    <t xml:space="preserve">310-0853 茨城県水戸市平須町１８４０−１ 
</t>
  </si>
  <si>
    <t>420-0871 静岡県静岡市葵区昭府２丁目１８－３８</t>
  </si>
  <si>
    <t>573-0067 大阪府 枚方市 伊加賀緑町３－１ 枚方大橋クリニックモール1階</t>
  </si>
  <si>
    <t>514-0823 三重県津市半田２０６−１</t>
  </si>
  <si>
    <t>183-0011 東京都府中市白糸台2-5-5　　</t>
  </si>
  <si>
    <t>273-0035
千葉県船橋市本中山6-10-1
CASASUMIKO 1階</t>
  </si>
  <si>
    <t>705-0001　岡山県備前市伊部252-2</t>
  </si>
  <si>
    <t>649-6256 和歌山県岩出市金池389-1</t>
  </si>
  <si>
    <t>231-0015 神奈川県横浜市中区尾上町3-21横浜国際ビル2階</t>
  </si>
  <si>
    <t>861-2232 
熊本県上益城郡益城町馬水８０５</t>
  </si>
  <si>
    <t>330-0855 埼玉県さいたま市大宮区上小町649</t>
  </si>
  <si>
    <t>946-0024 新潟県魚沼市中原字大塚80-1</t>
  </si>
  <si>
    <t>226-0027 神奈川県横浜市緑区長津田3−1−43</t>
  </si>
  <si>
    <t>733-0812 広島県広島市西区己斐本町2丁目12－27</t>
  </si>
  <si>
    <t>192-0154 東京都八王子市下恩方町1141-1</t>
  </si>
  <si>
    <t>066-0026 北海道千歳市住吉4丁目2-3</t>
  </si>
  <si>
    <t>113-0001 東京都文京区白山１丁目３３－１８　白山NTビル4階</t>
  </si>
  <si>
    <t>411-0917静岡県駿東郡清水町徳倉６１６−１</t>
  </si>
  <si>
    <t>0630803 北海道札幌市西区二十四軒三条一丁目1番18号メディカルスクエア二十四軒1階</t>
  </si>
  <si>
    <t>581-0071大阪府八尾市北久宝寺1丁目1-7
開院前→
581-0013
大阪府八尾市山本町南2丁目3-3番</t>
  </si>
  <si>
    <t>220-0061 神奈川県横浜市西区久保町４３丁目１１</t>
  </si>
  <si>
    <t>326-0141 栃木県足利市小俣町520-1</t>
  </si>
  <si>
    <t>233-0052 神奈川県横浜市南区井土ヶ谷中町158アクロスキューブ井土ヶ谷３階</t>
  </si>
  <si>
    <t>578-0944 大阪府東大阪市若江西新町1-2-4瓜生堂クリニックビルSouth2階</t>
  </si>
  <si>
    <t>305-0023 茨城県つくば市上ノ室1755-1</t>
  </si>
  <si>
    <t>310-0851 茨城県水戸市千波町478-3</t>
  </si>
  <si>
    <t>446-0001
愛知県安城市法連町8－11</t>
  </si>
  <si>
    <t>426-0066 静岡県 藤枝市青葉町2丁目1－47</t>
  </si>
  <si>
    <t>805-0075福岡県北九州市八幡西区下上津役4-13-10</t>
  </si>
  <si>
    <t>852-8155 長崎県長崎市中園町22-10</t>
  </si>
  <si>
    <t>567-0801 大阪府茨木市総持寺1-3-2</t>
  </si>
  <si>
    <t>112-0003
東京都文京区春日1－16－30　講道館本館6階</t>
  </si>
  <si>
    <t>816-0911 福岡県大野城市大城2-1-32</t>
  </si>
  <si>
    <t>861-8043　熊本県熊本市東区戸島西3丁目1-39</t>
  </si>
  <si>
    <t>553-0001 大阪府大阪市福島区海老江2丁目1-36</t>
  </si>
  <si>
    <t>270-0121 千葉県流山市西初石3-354-1</t>
  </si>
  <si>
    <t>120-0015 
東京都足立区足立1-12-12</t>
  </si>
  <si>
    <t>839-0821 福岡県久留米市太郎原町1344</t>
  </si>
  <si>
    <t>811-0203
福岡県福岡市東区塩浜1-9-50</t>
  </si>
  <si>
    <t>173-0024
東京都東京都板橋区大山金井町35-2 ボンボニエール1階101号</t>
  </si>
  <si>
    <t>558-0002
大阪府大阪市住吉区長居西2-11-18　WELKAMTY長居西　２階</t>
  </si>
  <si>
    <t>530-0001
大阪府大阪市北区
梅田1-13-1 大阪梅田ツインタワーズ・サウス13階</t>
  </si>
  <si>
    <t>168-0064
東京都杉並区永福3-34-11 3階</t>
  </si>
  <si>
    <t>244-0815
神奈川県神奈川県横浜市戸塚区下倉田町1869-1-3F</t>
  </si>
  <si>
    <t>806-0032
福岡県北九州市八幡西区筒井町15-1-2</t>
  </si>
  <si>
    <t>390-0805
長野県松本市清水1-9-28</t>
  </si>
  <si>
    <t>195-0053
東京都町田市能ヶ谷1-5-4ルーブル夏目301</t>
  </si>
  <si>
    <t>155-0031
東京都東京都世田谷区北沢2‐8‐16</t>
  </si>
  <si>
    <t>236-0004
神奈川県横浜市金沢区福浦3-9</t>
  </si>
  <si>
    <t>815-0083
福岡県福岡市南区高宮3-2-18エヌ高宮1階</t>
  </si>
  <si>
    <t>286-0035
千葉県成田市囲護台2-5-8</t>
  </si>
  <si>
    <t>641-0007
和歌山県和歌山市小雑賀158</t>
  </si>
  <si>
    <t>168-0063
東京都杉並区和泉4-1-22パークホームズ杉並和泉ザ・レジデンスB1</t>
  </si>
  <si>
    <t>324-8686
栃木県大田原市中田原１０８１－４</t>
  </si>
  <si>
    <t>659-0093
兵庫県芦屋市船戸町3-19　1階</t>
  </si>
  <si>
    <t>661-0953
兵庫県尼崎市東園田町9-18-19</t>
  </si>
  <si>
    <t>640-8213
和歌山県和歌山市舟大工町12</t>
  </si>
  <si>
    <t>179-0081
東京都練馬区北町8-37-8 ベルソーナ北町102号</t>
  </si>
  <si>
    <t>895-0072
鹿児島県薩摩川内市中郷1-8-16</t>
  </si>
  <si>
    <t>830-0037
福岡県久留米市諏訪野町2772-1</t>
  </si>
  <si>
    <t>330-0063
埼玉県さいたま市浦和区高砂４－２－４－１０１</t>
  </si>
  <si>
    <t/>
  </si>
  <si>
    <t xml:space="preserve">
569112</t>
  </si>
  <si>
    <t>都道府県</t>
    <phoneticPr fontId="1"/>
  </si>
  <si>
    <t>都道府県
No.</t>
    <rPh sb="0" eb="4">
      <t>トドウフケン</t>
    </rPh>
    <phoneticPr fontId="1"/>
  </si>
  <si>
    <t>筒井</t>
  </si>
  <si>
    <t>谷掛</t>
  </si>
  <si>
    <t>聡</t>
    <rPh sb="0" eb="1">
      <t>サトシ</t>
    </rPh>
    <phoneticPr fontId="1"/>
  </si>
  <si>
    <t>透</t>
  </si>
  <si>
    <t>和博</t>
  </si>
  <si>
    <t>和馬</t>
  </si>
  <si>
    <t>秀規</t>
  </si>
  <si>
    <t>洋平</t>
  </si>
  <si>
    <t>知行</t>
  </si>
  <si>
    <t>誠</t>
  </si>
  <si>
    <t>大典</t>
  </si>
  <si>
    <t>圭史</t>
  </si>
  <si>
    <t>岳</t>
  </si>
  <si>
    <t>裕之</t>
  </si>
  <si>
    <t>秀明</t>
  </si>
  <si>
    <t>貴行</t>
  </si>
  <si>
    <t>岳男</t>
  </si>
  <si>
    <t>将英</t>
  </si>
  <si>
    <t>勝</t>
  </si>
  <si>
    <t>基樹</t>
  </si>
  <si>
    <t>永井</t>
  </si>
  <si>
    <t>三輪</t>
  </si>
  <si>
    <t>謙一</t>
  </si>
  <si>
    <t>靖司</t>
  </si>
  <si>
    <t>洋二</t>
  </si>
  <si>
    <t>新二</t>
  </si>
  <si>
    <t>直人</t>
  </si>
  <si>
    <t>浩之</t>
  </si>
  <si>
    <t>寿陽</t>
  </si>
  <si>
    <t>高弘</t>
  </si>
  <si>
    <t>敦義</t>
  </si>
  <si>
    <t>達朗</t>
  </si>
  <si>
    <t>淳作</t>
  </si>
  <si>
    <t>虎洋</t>
  </si>
  <si>
    <t>敏彦</t>
  </si>
  <si>
    <t>史樹</t>
  </si>
  <si>
    <t>太郎</t>
  </si>
  <si>
    <t>隆太郎</t>
  </si>
  <si>
    <t>昌樹</t>
  </si>
  <si>
    <t>寿馬</t>
  </si>
  <si>
    <t>能三</t>
  </si>
  <si>
    <t>貴敬</t>
  </si>
  <si>
    <t>秀鼎</t>
  </si>
  <si>
    <t>晃</t>
  </si>
  <si>
    <t>晃義</t>
  </si>
  <si>
    <t>武史</t>
  </si>
  <si>
    <t>知昭</t>
  </si>
  <si>
    <t>一平</t>
  </si>
  <si>
    <t>哲</t>
  </si>
  <si>
    <t>和人</t>
  </si>
  <si>
    <t>洋子</t>
  </si>
  <si>
    <t>明生</t>
  </si>
  <si>
    <t>博夫</t>
  </si>
  <si>
    <t>正</t>
  </si>
  <si>
    <t>匡</t>
  </si>
  <si>
    <t>究</t>
  </si>
  <si>
    <t>貴</t>
  </si>
  <si>
    <t>忠司</t>
  </si>
  <si>
    <t>俊央</t>
  </si>
  <si>
    <t>正樹</t>
  </si>
  <si>
    <t>順哉</t>
  </si>
  <si>
    <t>純一</t>
  </si>
  <si>
    <t>和洋</t>
  </si>
  <si>
    <t>泰</t>
  </si>
  <si>
    <t>周</t>
  </si>
  <si>
    <t>光太郎</t>
  </si>
  <si>
    <t>聡志</t>
  </si>
  <si>
    <t>史明</t>
  </si>
  <si>
    <t>晴規</t>
  </si>
  <si>
    <t>勇樹</t>
  </si>
  <si>
    <t>修平</t>
  </si>
  <si>
    <t>亮</t>
  </si>
  <si>
    <t>尚徳</t>
  </si>
  <si>
    <t>昌代</t>
  </si>
  <si>
    <t>亮介</t>
  </si>
  <si>
    <t>亮吾</t>
  </si>
  <si>
    <t>幸雄</t>
  </si>
  <si>
    <t>博繁</t>
  </si>
  <si>
    <t>賢二</t>
  </si>
  <si>
    <t>祥一</t>
  </si>
  <si>
    <t>熱紀</t>
  </si>
  <si>
    <t>政人</t>
  </si>
  <si>
    <t>敏男</t>
  </si>
  <si>
    <t>基英</t>
  </si>
  <si>
    <t>啓之</t>
  </si>
  <si>
    <t>剛</t>
  </si>
  <si>
    <t>拓矢</t>
  </si>
  <si>
    <t>哲也</t>
  </si>
  <si>
    <t>祐子</t>
  </si>
  <si>
    <t>浩二</t>
  </si>
  <si>
    <t>馨</t>
  </si>
  <si>
    <t>真</t>
  </si>
  <si>
    <t>晋</t>
  </si>
  <si>
    <t>啓紀</t>
  </si>
  <si>
    <t>博哉</t>
  </si>
  <si>
    <t>大</t>
  </si>
  <si>
    <t>敦樹</t>
  </si>
  <si>
    <t>学</t>
  </si>
  <si>
    <t>正道</t>
  </si>
  <si>
    <t>斉悟</t>
  </si>
  <si>
    <t>大輔</t>
  </si>
  <si>
    <t>正二郎</t>
  </si>
  <si>
    <t>諭史</t>
  </si>
  <si>
    <t>哲郎</t>
  </si>
  <si>
    <t>剛示</t>
  </si>
  <si>
    <t>航</t>
  </si>
  <si>
    <t>英信</t>
  </si>
  <si>
    <t>博</t>
  </si>
  <si>
    <t>匡能</t>
  </si>
  <si>
    <t>将量</t>
  </si>
  <si>
    <t>宏幸</t>
  </si>
  <si>
    <t>宰成</t>
  </si>
  <si>
    <t>順博</t>
  </si>
  <si>
    <t>貴充</t>
  </si>
  <si>
    <t>格</t>
  </si>
  <si>
    <t>祐二</t>
  </si>
  <si>
    <t>徹</t>
  </si>
  <si>
    <t>面谷</t>
    <rPh sb="0" eb="2">
      <t>オモタニ</t>
    </rPh>
    <phoneticPr fontId="1"/>
  </si>
  <si>
    <t>山口</t>
  </si>
  <si>
    <t>宮武</t>
  </si>
  <si>
    <t>慶元</t>
  </si>
  <si>
    <t>猿渡</t>
  </si>
  <si>
    <t>和田</t>
  </si>
  <si>
    <t>鴨井</t>
  </si>
  <si>
    <t>藤原</t>
  </si>
  <si>
    <t>石田</t>
  </si>
  <si>
    <t>横井</t>
  </si>
  <si>
    <t>為貝</t>
  </si>
  <si>
    <t>佐久川</t>
  </si>
  <si>
    <t>笹原</t>
  </si>
  <si>
    <t>今田</t>
  </si>
  <si>
    <t>戸田</t>
  </si>
  <si>
    <t>藤田</t>
  </si>
  <si>
    <t>白</t>
  </si>
  <si>
    <t>加藤</t>
  </si>
  <si>
    <t>上島</t>
  </si>
  <si>
    <t>韓</t>
  </si>
  <si>
    <t>仲野</t>
  </si>
  <si>
    <t>上林</t>
  </si>
  <si>
    <t>浅井</t>
  </si>
  <si>
    <t>大嶋</t>
  </si>
  <si>
    <t>小林</t>
  </si>
  <si>
    <t>建道</t>
  </si>
  <si>
    <t>平良</t>
  </si>
  <si>
    <t>岡部</t>
  </si>
  <si>
    <t>佐村</t>
  </si>
  <si>
    <t>大野</t>
  </si>
  <si>
    <t>平田</t>
  </si>
  <si>
    <t>高杉</t>
  </si>
  <si>
    <t>松田</t>
  </si>
  <si>
    <t>鴨居</t>
  </si>
  <si>
    <t>手塚</t>
  </si>
  <si>
    <t>島田</t>
  </si>
  <si>
    <t>池田</t>
  </si>
  <si>
    <t>村田</t>
  </si>
  <si>
    <t>簗瀬</t>
  </si>
  <si>
    <t>久保</t>
  </si>
  <si>
    <t>梁</t>
  </si>
  <si>
    <t>柵木</t>
  </si>
  <si>
    <t>小田</t>
  </si>
  <si>
    <t>都甲</t>
  </si>
  <si>
    <t>道家</t>
  </si>
  <si>
    <t>藤井</t>
  </si>
  <si>
    <t>村島</t>
  </si>
  <si>
    <t>寺田</t>
  </si>
  <si>
    <t>達</t>
  </si>
  <si>
    <t>清水</t>
  </si>
  <si>
    <t>早稲田</t>
  </si>
  <si>
    <t>宮田</t>
  </si>
  <si>
    <t>多賀</t>
  </si>
  <si>
    <t>秦</t>
  </si>
  <si>
    <t>山本</t>
  </si>
  <si>
    <t>斉藤</t>
  </si>
  <si>
    <t>塩泡</t>
  </si>
  <si>
    <t>原</t>
  </si>
  <si>
    <t>坂井</t>
  </si>
  <si>
    <t>松口</t>
  </si>
  <si>
    <t>川村</t>
  </si>
  <si>
    <t>渡邉</t>
  </si>
  <si>
    <t>石尾</t>
  </si>
  <si>
    <t>片山</t>
  </si>
  <si>
    <t>公平</t>
  </si>
  <si>
    <t>世良</t>
  </si>
  <si>
    <t>髙橋</t>
  </si>
  <si>
    <t>梶谷</t>
  </si>
  <si>
    <t>出田</t>
  </si>
  <si>
    <t>祷</t>
  </si>
  <si>
    <t>城戸</t>
  </si>
  <si>
    <t>宇賀治</t>
  </si>
  <si>
    <t>吉岡</t>
  </si>
  <si>
    <t>野口</t>
  </si>
  <si>
    <t>森実</t>
  </si>
  <si>
    <t>菊地</t>
  </si>
  <si>
    <t>岩下</t>
  </si>
  <si>
    <t>佐野</t>
  </si>
  <si>
    <t>宇南山</t>
  </si>
  <si>
    <t>石黒</t>
  </si>
  <si>
    <t>遠藤</t>
  </si>
  <si>
    <t>羽生</t>
  </si>
  <si>
    <t>村瀬</t>
  </si>
  <si>
    <t>金出</t>
  </si>
  <si>
    <t>岩田</t>
  </si>
  <si>
    <t>松宮</t>
  </si>
  <si>
    <t>中里</t>
  </si>
  <si>
    <t>上嶋</t>
  </si>
  <si>
    <t>古子</t>
  </si>
  <si>
    <t>関口</t>
  </si>
  <si>
    <t>姜</t>
  </si>
  <si>
    <t>堀本</t>
  </si>
  <si>
    <t>佐藤</t>
  </si>
  <si>
    <t>山崎</t>
  </si>
  <si>
    <t>蜂須賀</t>
  </si>
  <si>
    <t>杉本</t>
  </si>
  <si>
    <t>川崎</t>
  </si>
  <si>
    <t>松本</t>
  </si>
  <si>
    <t>井出</t>
  </si>
  <si>
    <t>循環器内科</t>
  </si>
  <si>
    <t>浦橋</t>
  </si>
  <si>
    <t>嶋津</t>
  </si>
  <si>
    <t>河野</t>
  </si>
  <si>
    <t>西尾</t>
  </si>
  <si>
    <t>田村</t>
  </si>
  <si>
    <t>中村</t>
  </si>
  <si>
    <t>恒遠</t>
  </si>
  <si>
    <t>東</t>
  </si>
  <si>
    <t>福村</t>
  </si>
  <si>
    <t>坂元</t>
  </si>
  <si>
    <t>渡邊</t>
  </si>
  <si>
    <t>木田</t>
  </si>
  <si>
    <t>中谷</t>
  </si>
  <si>
    <t>安</t>
  </si>
  <si>
    <t>土井</t>
  </si>
  <si>
    <t>岡田</t>
  </si>
  <si>
    <t>担当①
性</t>
    <rPh sb="4" eb="5">
      <t>セイ</t>
    </rPh>
    <phoneticPr fontId="1"/>
  </si>
  <si>
    <t>担当①
名</t>
    <rPh sb="4" eb="5">
      <t>メイ</t>
    </rPh>
    <phoneticPr fontId="1"/>
  </si>
  <si>
    <t>担当②
性</t>
    <rPh sb="4" eb="5">
      <t>セイ</t>
    </rPh>
    <phoneticPr fontId="1"/>
  </si>
  <si>
    <t>担当②
名</t>
    <rPh sb="4" eb="5">
      <t>メイ</t>
    </rPh>
    <phoneticPr fontId="1"/>
  </si>
  <si>
    <t>担当①
役職</t>
    <rPh sb="4" eb="6">
      <t>ヤクショク</t>
    </rPh>
    <phoneticPr fontId="1"/>
  </si>
  <si>
    <t>担当②
役職</t>
    <rPh sb="4" eb="6">
      <t>ヤクショク</t>
    </rPh>
    <phoneticPr fontId="1"/>
  </si>
  <si>
    <t>副院長</t>
    <rPh sb="0" eb="3">
      <t>フクインチョウ</t>
    </rPh>
    <phoneticPr fontId="1"/>
  </si>
  <si>
    <t>院長</t>
    <rPh sb="0" eb="2">
      <t>インチョウ</t>
    </rPh>
    <phoneticPr fontId="1"/>
  </si>
  <si>
    <t>山口</t>
    <rPh sb="0" eb="2">
      <t>ヤマグチ</t>
    </rPh>
    <phoneticPr fontId="1"/>
  </si>
  <si>
    <t>副院長　院長山口重嘉</t>
    <phoneticPr fontId="1"/>
  </si>
  <si>
    <t>重嘉</t>
    <phoneticPr fontId="1"/>
  </si>
  <si>
    <t>理事長</t>
    <phoneticPr fontId="1"/>
  </si>
  <si>
    <t>駿介</t>
    <rPh sb="0" eb="2">
      <t>シュンスケ</t>
    </rPh>
    <phoneticPr fontId="1"/>
  </si>
  <si>
    <t>潤</t>
    <rPh sb="0" eb="1">
      <t>ジュン</t>
    </rPh>
    <phoneticPr fontId="1"/>
  </si>
  <si>
    <t>小黒</t>
    <rPh sb="0" eb="2">
      <t>オグロ</t>
    </rPh>
    <phoneticPr fontId="1"/>
  </si>
  <si>
    <t>賢二</t>
    <phoneticPr fontId="1"/>
  </si>
  <si>
    <t>繁</t>
    <rPh sb="0" eb="1">
      <t>シゲ</t>
    </rPh>
    <phoneticPr fontId="1"/>
  </si>
  <si>
    <t>社会医療法人　駿甲会　甲賀病院</t>
  </si>
  <si>
    <t>日本体育大学クリニック</t>
  </si>
  <si>
    <t>斉藤整形外科</t>
  </si>
  <si>
    <t>医療法人鉄友会　宇野病院</t>
  </si>
  <si>
    <t>八雲総合病院</t>
  </si>
  <si>
    <t>分院長</t>
    <rPh sb="0" eb="2">
      <t>ブンイン</t>
    </rPh>
    <rPh sb="2" eb="3">
      <t>チョウ</t>
    </rPh>
    <phoneticPr fontId="1"/>
  </si>
  <si>
    <t>韓　哲舜
（ハン　チョルスン）</t>
    <phoneticPr fontId="1"/>
  </si>
  <si>
    <t>哲舜</t>
  </si>
  <si>
    <t>靖司</t>
    <phoneticPr fontId="1"/>
  </si>
  <si>
    <t>理事長</t>
    <rPh sb="0" eb="3">
      <t>リジチョウ</t>
    </rPh>
    <phoneticPr fontId="1"/>
  </si>
  <si>
    <t>浅井</t>
    <rPh sb="0" eb="2">
      <t>アサイ</t>
    </rPh>
    <phoneticPr fontId="1"/>
  </si>
  <si>
    <t>光子</t>
    <rPh sb="0" eb="2">
      <t>ミツコ</t>
    </rPh>
    <phoneticPr fontId="1"/>
  </si>
  <si>
    <t>金重</t>
    <rPh sb="0" eb="2">
      <t>カネシゲ</t>
    </rPh>
    <phoneticPr fontId="1"/>
  </si>
  <si>
    <t>哲三</t>
    <rPh sb="0" eb="2">
      <t>テツゾウ</t>
    </rPh>
    <phoneticPr fontId="1"/>
  </si>
  <si>
    <t>建道　寿教
（こんどう　としのり）</t>
    <phoneticPr fontId="1"/>
  </si>
  <si>
    <t>寿教</t>
  </si>
  <si>
    <t>平良　貴志
（たいら　たかし）</t>
    <phoneticPr fontId="1"/>
  </si>
  <si>
    <t>貴志</t>
  </si>
  <si>
    <t>有馬</t>
    <rPh sb="0" eb="2">
      <t>アリマ</t>
    </rPh>
    <phoneticPr fontId="1"/>
  </si>
  <si>
    <t>千代倉</t>
    <rPh sb="0" eb="3">
      <t>チヨクラ</t>
    </rPh>
    <phoneticPr fontId="1"/>
  </si>
  <si>
    <t>理事長　千代倉　吉宏
院長　有馬　敏彦</t>
    <phoneticPr fontId="1"/>
  </si>
  <si>
    <t>吉宏</t>
  </si>
  <si>
    <t>副院長　理事長脇元順一</t>
    <phoneticPr fontId="1"/>
  </si>
  <si>
    <t>脇元</t>
    <phoneticPr fontId="1"/>
  </si>
  <si>
    <t>順一</t>
    <phoneticPr fontId="1"/>
  </si>
  <si>
    <t>渓</t>
    <rPh sb="0" eb="1">
      <t>タニ</t>
    </rPh>
    <phoneticPr fontId="1"/>
  </si>
  <si>
    <t>都甲</t>
    <rPh sb="0" eb="2">
      <t>トコウ</t>
    </rPh>
    <phoneticPr fontId="1"/>
  </si>
  <si>
    <t>昭彦</t>
    <rPh sb="0" eb="2">
      <t>アキヒコ</t>
    </rPh>
    <phoneticPr fontId="1"/>
  </si>
  <si>
    <t>孝幸</t>
    <rPh sb="0" eb="2">
      <t>タカユキ</t>
    </rPh>
    <phoneticPr fontId="1"/>
  </si>
  <si>
    <t>命賢</t>
    <rPh sb="0" eb="1">
      <t>イノチ</t>
    </rPh>
    <rPh sb="1" eb="2">
      <t>カシコ</t>
    </rPh>
    <phoneticPr fontId="1"/>
  </si>
  <si>
    <t>孝介</t>
    <rPh sb="0" eb="2">
      <t>コウスケ</t>
    </rPh>
    <phoneticPr fontId="1"/>
  </si>
  <si>
    <t>坂井</t>
    <phoneticPr fontId="1"/>
  </si>
  <si>
    <t>伸彰</t>
    <rPh sb="0" eb="1">
      <t>シン</t>
    </rPh>
    <rPh sb="1" eb="2">
      <t>アキラ</t>
    </rPh>
    <phoneticPr fontId="1"/>
  </si>
  <si>
    <t>勇二</t>
    <rPh sb="1" eb="2">
      <t>ニ</t>
    </rPh>
    <phoneticPr fontId="1"/>
  </si>
  <si>
    <t>順二</t>
    <rPh sb="0" eb="2">
      <t>ジュンジ</t>
    </rPh>
    <phoneticPr fontId="1"/>
  </si>
  <si>
    <t>理事長　加藤篤史</t>
    <phoneticPr fontId="1"/>
  </si>
  <si>
    <t>篤史</t>
  </si>
  <si>
    <t>和樹</t>
    <rPh sb="0" eb="2">
      <t>カズキ</t>
    </rPh>
    <phoneticPr fontId="1"/>
  </si>
  <si>
    <t>遠藤　治樹　　　　　　谷口　祥一</t>
    <phoneticPr fontId="1"/>
  </si>
  <si>
    <t>治樹</t>
  </si>
  <si>
    <t>谷口</t>
  </si>
  <si>
    <t>理事長　松本泰子</t>
    <phoneticPr fontId="1"/>
  </si>
  <si>
    <t>泰子</t>
  </si>
  <si>
    <t>告野</t>
    <phoneticPr fontId="1"/>
  </si>
  <si>
    <t>英利</t>
    <phoneticPr fontId="1"/>
  </si>
  <si>
    <t>井口</t>
    <phoneticPr fontId="1"/>
  </si>
  <si>
    <t>智揮</t>
    <phoneticPr fontId="1"/>
  </si>
  <si>
    <t>間瀬泰克</t>
    <phoneticPr fontId="1"/>
  </si>
  <si>
    <t>間瀬</t>
    <phoneticPr fontId="1"/>
  </si>
  <si>
    <t>泰克</t>
    <phoneticPr fontId="1"/>
  </si>
  <si>
    <t>松村</t>
    <phoneticPr fontId="1"/>
  </si>
  <si>
    <t>健一</t>
  </si>
  <si>
    <t>中里　伸也　松村健一</t>
    <phoneticPr fontId="1"/>
  </si>
  <si>
    <t>伸也</t>
  </si>
  <si>
    <t>上嶋 浩順（ウエシマ ヒロノブ）</t>
    <phoneticPr fontId="1"/>
  </si>
  <si>
    <t>浩順</t>
  </si>
  <si>
    <t>杉元</t>
    <phoneticPr fontId="1"/>
  </si>
  <si>
    <t>紳太郎</t>
    <phoneticPr fontId="1"/>
  </si>
  <si>
    <t>小松</t>
    <phoneticPr fontId="1"/>
  </si>
  <si>
    <t>知也</t>
    <phoneticPr fontId="1"/>
  </si>
  <si>
    <t>成田</t>
    <phoneticPr fontId="1"/>
  </si>
  <si>
    <t>山田</t>
    <phoneticPr fontId="1"/>
  </si>
  <si>
    <t>岡田</t>
    <phoneticPr fontId="1"/>
  </si>
  <si>
    <t>洋和</t>
    <phoneticPr fontId="1"/>
  </si>
  <si>
    <t>鈴木</t>
    <rPh sb="0" eb="2">
      <t>スズキ</t>
    </rPh>
    <phoneticPr fontId="1"/>
  </si>
  <si>
    <t>翔</t>
  </si>
  <si>
    <t>松宮</t>
    <phoneticPr fontId="1"/>
  </si>
  <si>
    <t>副院長　院長松宮基英</t>
    <phoneticPr fontId="1"/>
  </si>
  <si>
    <t>磯見</t>
    <phoneticPr fontId="1"/>
  </si>
  <si>
    <t>卓</t>
    <phoneticPr fontId="1"/>
  </si>
  <si>
    <t>間庭</t>
    <phoneticPr fontId="1"/>
  </si>
  <si>
    <t>圭一</t>
    <phoneticPr fontId="1"/>
  </si>
  <si>
    <t>伸彰</t>
    <phoneticPr fontId="1"/>
  </si>
  <si>
    <t>大林</t>
    <phoneticPr fontId="1"/>
  </si>
  <si>
    <t>賢司</t>
    <phoneticPr fontId="1"/>
  </si>
  <si>
    <t>奥野先生より、学会発表などの協力を条件に費用なし、主に江戸川病院の形成外科で行う予定。資料データのみ共有してあります（2025/6/20松本）</t>
  </si>
  <si>
    <t>6/24(火)18:30～zoom</t>
  </si>
  <si>
    <t>https://yoga-seikei.com/treatment.html#intra-arterialTherapy</t>
  </si>
  <si>
    <t>2024/6/26西海</t>
  </si>
  <si>
    <t>送らない</t>
  </si>
  <si>
    <t>奥野先生がお世話になっている先生。
江戸川病院と同様契約書なし、費用なしでデータ送付指示あり（2024/6/23奥野先生指示）</t>
  </si>
  <si>
    <t>2024/6/22＠表参道ご見学済</t>
  </si>
  <si>
    <t>〒158-0097 
東京都世田谷区用賀4丁目9-12-3階</t>
  </si>
  <si>
    <t>用賀整形外科クリニック
https://yoga-seikei.com/</t>
  </si>
  <si>
    <t>記載なし</t>
  </si>
  <si>
    <t>☑</t>
  </si>
  <si>
    <t>奥野先生の元勤務先のため、動注契約は不要だがリストへの掲載指示あり（3/2奥野先生）</t>
  </si>
  <si>
    <t>川副陽子先生　positive0902@gmail.com</t>
  </si>
  <si>
    <t>https://www.edogawa.or.jp/</t>
  </si>
  <si>
    <t>担当ドクターのアドレスを西海さんに共有(2023/5/17)</t>
  </si>
  <si>
    <t>社会福祉法人 仁生社 江戸川病院
https://www.edogawa.or.jp/</t>
  </si>
  <si>
    <t>症例入力はなし</t>
  </si>
  <si>
    <t>〒236-0004
神奈川県横浜市金沢区福浦3-9</t>
  </si>
  <si>
    <t>2026/5.20</t>
  </si>
  <si>
    <t>〒330-0063
埼玉県さいたま市浦和区高砂４－２－４－１０１</t>
  </si>
  <si>
    <t>https://m-orthopain.com/information/ownexpense/</t>
  </si>
  <si>
    <t>2024/4/4西海</t>
  </si>
  <si>
    <t>55,000円</t>
  </si>
  <si>
    <t>✔4月</t>
  </si>
  <si>
    <t>済（2024/5/9西海）</t>
  </si>
  <si>
    <t>済（2023/7/25西海）</t>
  </si>
  <si>
    <t>2023/4/4山本さんへ</t>
  </si>
  <si>
    <t>新名称で2025/2/19郵送</t>
  </si>
  <si>
    <t>済（2023/3/28）</t>
  </si>
  <si>
    <t>奥野先生から名刺写真共有あり（3/18)2025/2/6名称変更：松田整形外科ペインクリニック</t>
  </si>
  <si>
    <t>〒887-0021
宮崎県日南市中央通2-3-5</t>
  </si>
  <si>
    <t>一斉メール送信済(2023/5/11)</t>
  </si>
  <si>
    <t>医療法人　弘和会
松田整形外科ペインクリニック　　https://m-orthopain.com/</t>
  </si>
  <si>
    <t>〒830-0037
福岡県久留米市諏訪野町2772-1</t>
  </si>
  <si>
    <t>1/26＠表参道</t>
  </si>
  <si>
    <t>〒895-0072
鹿児島県薩摩川内市中郷1-8-16</t>
  </si>
  <si>
    <t>3/12(木)＠表参道</t>
  </si>
  <si>
    <t>〒179-0081
東京都練馬区北町8-37-8 ベルソーナ北町102号</t>
  </si>
  <si>
    <t>〒640-8213
和歌山県和歌山市舟大工町12</t>
  </si>
  <si>
    <t>1/８(木)＠表参道　９:３0～</t>
  </si>
  <si>
    <t>〒168-0063
東京都杉並区和泉4-1-22パークホームズ杉並和泉ザ・レジデンスB1</t>
  </si>
  <si>
    <t>https://nishimura-clinic-sonoda.jp/%e5%8b%95%e6%b3%a8%e6%b2%bb%e7%99%82</t>
  </si>
  <si>
    <t>〒661-0953
兵庫県尼崎市東園田町9-18-19</t>
  </si>
  <si>
    <t>1/21(水)＠三宮</t>
  </si>
  <si>
    <t>〒659-0093
兵庫県芦屋市船戸町3-19　1階</t>
  </si>
  <si>
    <t>20261/13</t>
  </si>
  <si>
    <t>なし</t>
  </si>
  <si>
    <t>〒641-0007
和歌山県和歌山市小雑賀158</t>
  </si>
  <si>
    <t>ただおプラスクリニックから2026/1/5変更</t>
  </si>
  <si>
    <t>〒195-0053
東京都町田市能ヶ谷1-5-4ルーブル夏目301</t>
  </si>
  <si>
    <t>2025/4/1～個人から引継ぎ</t>
  </si>
  <si>
    <t>〒815-0083
福岡県福岡市南区高宮3-2-18エヌ高宮1階</t>
  </si>
  <si>
    <t>〒324-8686
栃木県大田原市中田原１０８１－４</t>
  </si>
  <si>
    <t>12/25(木)＠銀座　9：30～</t>
  </si>
  <si>
    <t>〒286-0035
千葉県成田市囲護台2-5-8</t>
  </si>
  <si>
    <t>2025・12・22</t>
  </si>
  <si>
    <t>〒390-0805
長野県松本市清水1-9-28</t>
  </si>
  <si>
    <t>9/26(金)＠表参道</t>
  </si>
  <si>
    <t>〒120-0015 
東京都足立区足立1-12-12</t>
  </si>
  <si>
    <t>足立慶友整形外科
https://clinic.adachikeiyu.com/</t>
  </si>
  <si>
    <t>20205/12/12</t>
  </si>
  <si>
    <t>9/9に契約書送るも返送なし10/6メール→忘れたと連絡12/10</t>
  </si>
  <si>
    <t>〒567-0801 大阪府茨木市総持寺1-3-2</t>
  </si>
  <si>
    <t>新谷先生紹介</t>
  </si>
  <si>
    <t>〒155-0031
東京都東京都世田谷区北沢2‐8‐16</t>
  </si>
  <si>
    <t>11/11＠表参道</t>
  </si>
  <si>
    <t>〒112-0003
東京都文京区春日1－16－30　講道館本館6階</t>
  </si>
  <si>
    <t>https://watanabeortho.jp/menu/%E7%B0%A1%E6%98%93%E5%8B%95%E6%B3%A8%E7%99%82%E6%B3%95%EF%BC%88%E8%87%AA%E8%B2%BB%E8%A8%BA%E7%99%82%EF%BC%89/</t>
  </si>
  <si>
    <t>博多</t>
  </si>
  <si>
    <t>〒806-0032
福岡県北九州市八幡西区筒井町15-1-2</t>
  </si>
  <si>
    <t>新谷先生知人</t>
  </si>
  <si>
    <t>10/18＠表参道</t>
  </si>
  <si>
    <t>〒173-0024
東京都東京都板橋区大山金井町35-2 ボンボニエール1階101号</t>
  </si>
  <si>
    <t>希望</t>
  </si>
  <si>
    <t>〒244-0815
神奈川県神奈川県横浜市戸塚区下倉田町1869-1-3F</t>
  </si>
  <si>
    <t>〒530-0001
大阪府大阪市北区
梅田1-13-1 大阪梅田ツインタワーズ・サウス13階</t>
  </si>
  <si>
    <t>11/26＠表参道</t>
  </si>
  <si>
    <t>〒168-0064
東京都杉並区永福3-34-11 3階</t>
  </si>
  <si>
    <t>〒558-0002
大阪府大阪市住吉区長居西2-11-18　WELKAMTY長居西　２階</t>
  </si>
  <si>
    <t>つねとう痛みのクリニック
https://www.tsune-itm.com/</t>
  </si>
  <si>
    <t>〒811-0203
福岡県福岡市東区塩浜1-9-50</t>
  </si>
  <si>
    <t>2025/10/8＠博多</t>
  </si>
  <si>
    <t>〒861-8043　熊本県熊本市東区戸島西3丁目1-39</t>
  </si>
  <si>
    <t>10/3＠表参道</t>
  </si>
  <si>
    <t>〒446-0001
愛知県安城市法連町8－11</t>
  </si>
  <si>
    <t>奥野先生より指示あり対応（面談あり）
関西電力病院　整形外科（https://kanden-hsp.jp/）ご所属
→2025年夏に開業予定のクリニックにて導入希望（2024/7/8返信あり）
→ご希望の際にご連絡いただくよう返信済み（2024/7/8西海）
→動注のHPがあったため契約するようにメール（2025/7/10）</t>
  </si>
  <si>
    <t>581-0071大阪府八尾市北久宝寺1丁目1-7
開院前→
〒581-0013
大阪府八尾市山本町南2丁目3-3番</t>
  </si>
  <si>
    <t>〒839-0821 福岡県久留米市太郎原町1344</t>
  </si>
  <si>
    <t>2025/9/30　1箱横浜</t>
  </si>
  <si>
    <t>〒426-0066 静岡県 藤枝市青葉町2丁目1－47</t>
  </si>
  <si>
    <t>医療法人社団智孝会錦野クリニック
https://www.nishikino.net/</t>
  </si>
  <si>
    <t>〒553-0001 大阪府大阪市福島区海老江2丁目1-36</t>
  </si>
  <si>
    <t>9/2(火)札幌
９/17(水)＠表参道院</t>
  </si>
  <si>
    <t>〒066-0026 北海道千歳市住吉4丁目2-3</t>
  </si>
  <si>
    <t>医療法人真清の会新千歳クリニック
https://shinchitose-clinic.com/</t>
  </si>
  <si>
    <t>あり</t>
  </si>
  <si>
    <t>〒816-0911 福岡県大野城市大城2-1-32</t>
  </si>
  <si>
    <t>〒270-0121 千葉県流山市西初石3-354-1</t>
  </si>
  <si>
    <t>〒326-0141 栃木県足利市小俣町520-1</t>
  </si>
  <si>
    <t>https://www.yamamotoseikeigeka-mito.com/post/%E3%83%A2%E3%83%A4%E3%83%A2%E3%83%A4%E8%A1%80%E7%AE%A1%E6%B2%BB%E7%99%82%EF%BC%88%E5%8B%95%E6%B3%A8%E6%B2%BB%E7%99%82%E6%B3%95%EF%BC%89?utm_source=chatgpt.com</t>
  </si>
  <si>
    <t>10/13＠表参道</t>
  </si>
  <si>
    <t>〒310-0851 茨城県水戸市千波町478-3</t>
  </si>
  <si>
    <t>〒852-8155 長崎県長崎市中園町22-10</t>
  </si>
  <si>
    <t>2025/9/3　1箱横浜</t>
  </si>
  <si>
    <t>〒805-0075福岡県北九州市八幡西区下上津役4-13-10</t>
  </si>
  <si>
    <t>2026/3/9チラシ30追加</t>
  </si>
  <si>
    <t>9/3＠横浜
10/29＠横浜</t>
  </si>
  <si>
    <t>〒233-0052 神奈川県横浜市南区井土ヶ谷中町158アクロスキューブ井土ヶ谷３階</t>
  </si>
  <si>
    <t>井土ヶ谷整形外科リハビリクリニック
https://idogaya-seikei.com/</t>
  </si>
  <si>
    <t>中田先生ご紹介</t>
  </si>
  <si>
    <t>5/28(水)13:50～＠仙台</t>
  </si>
  <si>
    <t>個人のため</t>
  </si>
  <si>
    <t>9/2(火)＠銀座</t>
  </si>
  <si>
    <t>〒305-0023 茨城県つくば市上ノ室1755-1</t>
  </si>
  <si>
    <t>2025/8/15　1箱横浜</t>
  </si>
  <si>
    <t>〒220-0061 神奈川県横浜市西区久保町４３丁目１１</t>
  </si>
  <si>
    <t>井出整形外科クリニック
https://ide-orthopedic-clinic.com/</t>
  </si>
  <si>
    <t>〒578-0944 大阪府東大阪市若江西新町1-2-4瓜生堂クリニックビルSouth2階</t>
  </si>
  <si>
    <t>https://hakusan-reha.jp/%e3%83%aa%e3%82%a6%e3%83%9e%e3%83%81%e3%81%ae%e6%b2%bb%e7%99%82</t>
  </si>
  <si>
    <t>〒113-0021 
文京区本駒込2-20-10 ロアジス文京604</t>
  </si>
  <si>
    <t>〒113-0001 東京都文京区白山１丁目３３－１８　白山NTビル4階</t>
  </si>
  <si>
    <t>白山リハビリ整形外科
https://hakusan-reha.jp/</t>
  </si>
  <si>
    <t>20257/24</t>
  </si>
  <si>
    <t>8/1(金)13:00</t>
  </si>
  <si>
    <t>8/20(水)＠札幌院13:50～→延期</t>
  </si>
  <si>
    <t>〒0630803 北海道札幌市西区二十四軒三条一丁目1番18号メディカルスクエア二十四軒1階</t>
  </si>
  <si>
    <t>https://www.tokyo-hospital.com/department/orthopedics/arterial-injection/</t>
  </si>
  <si>
    <t xml:space="preserve">新中野整形・リハビリテーションクリニック岡部先生のご紹介 
</t>
  </si>
  <si>
    <t>医療法人財団健貢会総合東京病院　　https://www.tokyo-hospital.com/</t>
  </si>
  <si>
    <t>https://kawasaki-clinic-hachioji.com/arterial-infusion/</t>
  </si>
  <si>
    <t>7/3＠表参道</t>
  </si>
  <si>
    <t>〒192-0154 東京都八王子市下恩方町1141-1</t>
  </si>
  <si>
    <t>医療法人社団主正会かわさきクリニック
https://kawasaki-clinic-hachioji.com/</t>
  </si>
  <si>
    <t>https://seikei-tsujimoto-clinic.com/douchu-therapy/</t>
  </si>
  <si>
    <t>わだ先生　神戸大学整形外科所属　〒658-0072 
兵庫県神戸市東灘区岡本7-7-3-6</t>
  </si>
  <si>
    <t>8/9＠三宮13:50～</t>
  </si>
  <si>
    <t>〒573-0067 大阪府 枚方市 伊加賀緑町３－１ 枚方大橋クリニックモール1階</t>
  </si>
  <si>
    <t>枚方大橋つじもと整形外科クリニック
https://seikei-tsujimoto-clinic.com/</t>
  </si>
  <si>
    <t>アビスパ福岡のチームドクターの</t>
  </si>
  <si>
    <t>5/26(月)＠博多14:00～</t>
  </si>
  <si>
    <t>〒815-0063 福岡県福岡市南区柳河内2-10-50</t>
  </si>
  <si>
    <t>医療法人同信会福岡整形外科病院　　https://www.fukuokaseikei.com/</t>
  </si>
  <si>
    <t>https://tokura-nakanishi.com/medical/arterial-injection/</t>
  </si>
  <si>
    <t>2025/7/15　1箱横浜</t>
  </si>
  <si>
    <t>10/27＠zoom</t>
  </si>
  <si>
    <t>〒411-0917静岡県駿東郡清水町徳倉６１６−１</t>
  </si>
  <si>
    <t>徳倉なかにし整形外科
https://tokura-nakanishi.com/</t>
  </si>
  <si>
    <t>8/6（水）＠表参道院中田D13:50～</t>
  </si>
  <si>
    <t>医療法人社団順公会佐藤整形外科
https://www.sato-seikeigeka.or.jp/</t>
  </si>
  <si>
    <t>2025/8/12　1箱横浜</t>
  </si>
  <si>
    <t>澁谷先生ご紹介　2026年開業予定</t>
  </si>
  <si>
    <t>5/12(月)13:15＠zoomなし</t>
  </si>
  <si>
    <t>〒662-0957 兵庫県西宮市大浜町1-4</t>
  </si>
  <si>
    <t>医療法人社団 西宮回生病院　　https://kaiseihp.jp/</t>
  </si>
  <si>
    <t>https://www.hachisukaseikei.jp/arterial-injection.php</t>
  </si>
  <si>
    <t>広島あり</t>
  </si>
  <si>
    <t>〒733-0812 広島県広島市西区己斐本町2丁目12－27</t>
  </si>
  <si>
    <t>医療法人　蜂須賀整形外科
https://www.hachisukaseikei.jp/index.php</t>
  </si>
  <si>
    <t>〒226-0027 神奈川県横浜市緑区長津田3−1−43</t>
  </si>
  <si>
    <t>裕香整形外科
https://yukaortho.jp/</t>
  </si>
  <si>
    <t>https://honespo.jp/archives/medical-care/arterial-infusion-therapy</t>
  </si>
  <si>
    <t>2025/7/4　1箱横浜</t>
  </si>
  <si>
    <t xml:space="preserve">知人からの紹介
内藤雅文先生/総合東京病院　八王子スポーツ整形外科など
当院に非常勤勤務していただいている内藤雅文先生（総合東京病院）よりご紹介いただきました。
以前より奥野先生のご評判は、八王子スポーツ整形外科にて非常勤勤務していた際に、間瀬院長・吉野さん含め、お話をお伺いしていました。
当院は２０２４年４月に新潟県魚沼市に開業した整形外科・スポーツ整形外科になります。
地域柄、へバーデンやブシャール結節、CM関節症は多いのですが、今まで有効な手立ての治療があまりなく、治療に難渋しておりました。
</t>
  </si>
  <si>
    <t>〒946-0024 新潟県魚沼市中原字大塚80-1</t>
  </si>
  <si>
    <t>新潟 骨とスポーツのクリニック
https://honespo.jp/</t>
  </si>
  <si>
    <t>シグマックス</t>
  </si>
  <si>
    <t>7月28日(月)13:00</t>
  </si>
  <si>
    <t>7/10(木)16:00＠博多</t>
  </si>
  <si>
    <t>〒861-2232 
熊本県上益城郡益城町馬水８０５</t>
  </si>
  <si>
    <t>医療法人社団福田会 ふくだ整形外科
https://seikei-fukuda.jp/</t>
  </si>
  <si>
    <t>https://taniguchiseikei.com/outpatient/arterial-infusion-therapy/</t>
  </si>
  <si>
    <t>2025/7/24　1箱横浜</t>
  </si>
  <si>
    <t>7/1813:50＠銀座中田D</t>
  </si>
  <si>
    <t>〒330-0855 埼玉県さいたま市大宮区上小町649</t>
  </si>
  <si>
    <t>医療法人社団Shin谷口整形外科リハビリクリニック
https://taniguchiseikei.com/</t>
  </si>
  <si>
    <t>くまざわ整形外科 熊澤祐輔先生</t>
  </si>
  <si>
    <t>〒183-0011 東京都府中市白糸台2-5-5　　</t>
  </si>
  <si>
    <t>中島整形外科医院
https://nakajima-seikei.com/</t>
  </si>
  <si>
    <t>7/30(水)13：50～＠横浜河邉</t>
  </si>
  <si>
    <t>〒231-0015 神奈川県横浜市中区尾上町3-21横浜国際ビル2階</t>
  </si>
  <si>
    <t>医療法人やすらぎ 関内いしだ整形外科・脊椎クリニック
https://k-ishidacl.com/</t>
  </si>
  <si>
    <t>https://nakaimaseikei.com/arterial_infusion_therapy/</t>
  </si>
  <si>
    <t>6/30(月)13:30～zoom</t>
  </si>
  <si>
    <t>〒649-6256 和歌山県岩出市金池389-1</t>
  </si>
  <si>
    <t>医療法人琉憲会 ナカイマ整形外科クリニック
https://nakaimaseikei.com/</t>
  </si>
  <si>
    <t>澁谷先生非常勤勤務</t>
  </si>
  <si>
    <t>〒674-0071　兵庫県明石市魚住町金ヶ崎370</t>
  </si>
  <si>
    <t>医療法人社団佳和会中山クリニック　https://www.akashi-n-clinic.com/</t>
  </si>
  <si>
    <t>済（2025/6/12松本）</t>
  </si>
  <si>
    <t>おおの整形外科内科医院大野尚徳先生</t>
  </si>
  <si>
    <t>〒705-0001　岡山県備前市伊部252-2</t>
  </si>
  <si>
    <t>武田整形外科　
https://www.takeda-ort.com/</t>
  </si>
  <si>
    <t>問い合わせメール</t>
  </si>
  <si>
    <t>6/11(水)17:15～zoom</t>
  </si>
  <si>
    <t>祐天寺整形外科クリニック　　　https://yutenji-seikei.jp/</t>
  </si>
  <si>
    <t>https://seikei-nagoya.com/%e8%87%aa%e7%94%b1%e8%a8%ba%e7%99%82/%e5%8b%95%e6%b3%a8%e7%99%82%e6%b3%95</t>
  </si>
  <si>
    <t>開業前のため未</t>
  </si>
  <si>
    <t>2025.7までは〒461-0027
愛知県名古屋市東区芳野1丁目1-15
医療法人名甲会　おなか内科東白壁クリニック</t>
  </si>
  <si>
    <t>3/26(水)13:15@zoom</t>
  </si>
  <si>
    <t>6/30(月)＠表参道</t>
  </si>
  <si>
    <t xml:space="preserve">〒461-0011
愛知県名古屋市東区白壁三丁目22番22号
</t>
  </si>
  <si>
    <t>医療法人名甲会　手とリハビリと整形外科東白壁クリニック
https://seikei-nagoya.com/</t>
  </si>
  <si>
    <t>奥野先生より　381-2241長野県長野市青木島町大塚913-6　申し込みは佐藤晶子</t>
  </si>
  <si>
    <t>サンマリーンクリニック
https://sunmarine-cl.jp/</t>
  </si>
  <si>
    <t>https://www.baraki-seikei.com/column/moyamoya.html</t>
  </si>
  <si>
    <t>新中野整形の岡部先生</t>
  </si>
  <si>
    <t>7/16午後＠銀座</t>
  </si>
  <si>
    <t>〒273-0035
千葉県船橋市本中山6-10-1
CASASUMIKO 1階</t>
  </si>
  <si>
    <t>原木中山駅前整形外科・リハビリテーション科
https://www.baraki-seikei.com/</t>
  </si>
  <si>
    <t>https://tsu-nakamuracl.com/treatment/post-1675/</t>
  </si>
  <si>
    <t>6/18@zoom</t>
  </si>
  <si>
    <t>〒514-0823 三重県津市半田２０６−１</t>
  </si>
  <si>
    <t xml:space="preserve">医療法人ひかり中村整形外科皮フ科　
https://tsu-nakamuracl.com/
</t>
  </si>
  <si>
    <t>奥野先生より　見学は市瀬先生</t>
  </si>
  <si>
    <t>3/14(木)＠表参道見学　4/17(木)打診</t>
  </si>
  <si>
    <t>〒460-0017
愛知県名古屋市中区松原二丁目17番5号</t>
  </si>
  <si>
    <t>医療法人桂名会重工大須病院　　https://juko-osu-hp.jp/</t>
  </si>
  <si>
    <t>https://kusayama-seikei.com/medical/ones-own-expense/#link07</t>
  </si>
  <si>
    <t xml:space="preserve">印西ニュータウン整形外科の川村正樹院長ご紹介　 自宅
220-0012
神奈川県横浜市西区みなとみらい5-3-1-P-605
</t>
  </si>
  <si>
    <t>3/27(木)13:30</t>
  </si>
  <si>
    <t>〒258-0029
神奈川県足柄上郡開成町みなみ4-5-7</t>
  </si>
  <si>
    <t>開成くさやま整形外科リハビリクリニック
https://kusayama-seikei.com/</t>
  </si>
  <si>
    <t>松宮整形外科グループ</t>
  </si>
  <si>
    <t>4/22(火)9:30～＠銀座</t>
  </si>
  <si>
    <t xml:space="preserve">
〒232-0006 神奈川県横浜市南区南太田１丁目２３−１３ レジデンスヨコハマ南</t>
  </si>
  <si>
    <t>南太田整形外科リハビリテーションクリニック　　https://m-ota-seikei.com/</t>
  </si>
  <si>
    <t>2023年に検討していた</t>
  </si>
  <si>
    <t>5/23見学希望　zoom面会中止</t>
  </si>
  <si>
    <t>〒890-0053 
鹿児島県鹿児島市中央町24-12 新福ビル1F-4F</t>
  </si>
  <si>
    <t>医療法人　諒優会 
鹿児島中央整形外科スポーツクリニック　　https://kco-sports.jp/</t>
  </si>
  <si>
    <t>4/3013:15＠zoom</t>
  </si>
  <si>
    <t>〒133-0043
東京都江戸川区松本1-34-7 3F</t>
  </si>
  <si>
    <t>江戸川区まつもと整形外科　　https://www.emseikei.com/</t>
  </si>
  <si>
    <t>https://ootayaclinic.com/medical/medical04.html#link02</t>
  </si>
  <si>
    <t>2025/6/9　1箱横浜</t>
  </si>
  <si>
    <t>箸方先生先輩、動注は箸方先生監修のもと行う　事務長は　佐藤あゆ美様</t>
  </si>
  <si>
    <t>5/8（木）13:00＠zoom→中止（5/1連絡）</t>
  </si>
  <si>
    <t>〒403-0005 山梨県富士吉田市上吉田５丁目８−３</t>
  </si>
  <si>
    <t>医療法人大田屋会 大田屋クリニック　　https://ootayaclinic.com/</t>
  </si>
  <si>
    <t>https://website2.infomity.net/8120000192/post_3.html</t>
  </si>
  <si>
    <t>はら整形外科クリニック原先生からのご紹介</t>
  </si>
  <si>
    <t>5/21お電話済</t>
  </si>
  <si>
    <t>〒420-0871 静岡県静岡市葵区昭府２丁目１８－３８</t>
  </si>
  <si>
    <t>ふくだ整形外科リウマチ科　　https://website2.infomity.net/8120000192/about/</t>
  </si>
  <si>
    <t>お知らせにあり</t>
  </si>
  <si>
    <t>くまざわ整形外科　熊澤祐輔先生</t>
  </si>
  <si>
    <t>4/10(木)13:15＠zoom</t>
  </si>
  <si>
    <t xml:space="preserve">〒310-0853 茨城県水戸市平須町１８４０−１ 
</t>
  </si>
  <si>
    <t>三枝整形外科内科　　https://saegusaseikeigekanaika.com/</t>
  </si>
  <si>
    <t>済（2025/4/14松本松本）</t>
  </si>
  <si>
    <t>2025/4/11松本</t>
  </si>
  <si>
    <t>宮崎先生の同級生</t>
  </si>
  <si>
    <t>4/10(木)13:30＠zoom</t>
  </si>
  <si>
    <t>3/17(月)13:50＠心斎橋</t>
  </si>
  <si>
    <t>〒538-0053大阪府大阪市鶴見区鶴見3-5-12　尾本ビル3階</t>
  </si>
  <si>
    <t>Haruクリニック　　https://www.haru-clinic.net/</t>
  </si>
  <si>
    <t>済（2024/9/11松本）</t>
  </si>
  <si>
    <t>2025/4/10松本</t>
  </si>
  <si>
    <t>OK</t>
  </si>
  <si>
    <t>2024/8/27　　2025/4/3再送</t>
  </si>
  <si>
    <t>澁谷先生紹介 資料は送ったが契約書返信なし</t>
  </si>
  <si>
    <t>お知り合いのためなし</t>
  </si>
  <si>
    <t>〒660-0861 
兵庫県尼崎市御園町２２</t>
  </si>
  <si>
    <t>医療法人慶文会阪神せぼね健康クリニック　　
https://kyoh-clinic.com/spine-health/</t>
  </si>
  <si>
    <t>済（2025/4/4松本松本）</t>
  </si>
  <si>
    <t>宮崎先生お知り合い</t>
  </si>
  <si>
    <t>zoom面会中止</t>
  </si>
  <si>
    <t>3/14(金)13:50～＠心斎橋</t>
  </si>
  <si>
    <t>〒532-0005
大阪府大阪市淀川区三国本町3-7-16　三国本町クリニックビル3階</t>
  </si>
  <si>
    <t>なかお三国ペインクリニック　
https://nakao-pain.com/</t>
  </si>
  <si>
    <t>高邦会高木病院在職中（2025/2/27）奥野先生より個人契約ＯＫ</t>
  </si>
  <si>
    <t>済み</t>
  </si>
  <si>
    <t>https://paincare.clinic/%e5%8b%95%e6%b3%a8%e6%b2%bb%e7%99%82</t>
  </si>
  <si>
    <t>〒810-0801 
福岡県福岡市博多区中洲5丁目2-3松居壹番館7階</t>
  </si>
  <si>
    <t>医療法人メディカル・セブン福岡ペインケアクリニック　　
https://paincare.clinic/</t>
  </si>
  <si>
    <t>https://maniwa-seikei.com/%e5%8b%95%e6%b3%a8%e7%99%82%e6%b3%95</t>
  </si>
  <si>
    <t>済（2025/3/18松本）</t>
  </si>
  <si>
    <t>2025/2/21→契約日変更3/12再送</t>
  </si>
  <si>
    <t>3/12　13:45zoom</t>
  </si>
  <si>
    <t>〒950-0871 新潟県新潟市東区山木戸８丁目９−３７</t>
  </si>
  <si>
    <t>間庭整形外科　https://maniwa-seikei.com/</t>
  </si>
  <si>
    <t>済（2025/3/12松本）</t>
  </si>
  <si>
    <t>加藤整形安藤先生ご紹介</t>
  </si>
  <si>
    <t>3/17(月)13:30</t>
  </si>
  <si>
    <t>〒2480017神奈川県逗子市久木8－20－17</t>
  </si>
  <si>
    <t xml:space="preserve">
医療法人ベネヴォラ 磯見整形外科医院　　　https://isomi-seikei.doctorsfile.jp/</t>
  </si>
  <si>
    <t>https://matsumiya-seikei.com/blog/4%e6%9c%88%e3%81%8b%e3%82%89%e3%82%aa%e3%82%af%e3%83%8e%e5%8b%95%e6%b3%a8%e7%99%82%e6%b3%95%e3%82%92%e5%b0%8e%e5%85%a5%ef%bc%81%ef%bc%81%e3%82%82%e3%82%84%e3%82%82%e3%82%84%e8%a1%80%e7%ae%a1%e3%81%a3/</t>
  </si>
  <si>
    <t>ブログのみ</t>
  </si>
  <si>
    <t>院長 松宮 是哲
2026/3/9チラシ30追加</t>
  </si>
  <si>
    <t>3/13(木)13:00＠zoom面会　午前表参道見学</t>
  </si>
  <si>
    <t>〒241-0022 神奈川県横浜市旭区鶴ケ峰２丁目２３−７ 松宮ビル</t>
  </si>
  <si>
    <t>医療法人順愛会松宮整形外科　　https://matsumiya-seikei.com/</t>
  </si>
  <si>
    <t>https://okadaseikei.jp/alpha-treatment/#section-6</t>
  </si>
  <si>
    <t>奥野先生より　2025/7/19新潟セミナー開催した</t>
  </si>
  <si>
    <t>見学のみ2025/2/11＠表参道</t>
  </si>
  <si>
    <t>〒950-0905
新潟県新潟市中央区天神尾2-11-2</t>
  </si>
  <si>
    <t>岡田整形外科　　https://okadaseikei.jp/</t>
  </si>
  <si>
    <t>2025/3/6　木内様宛メール</t>
  </si>
  <si>
    <t>アレックスグループ経理木内さんから連絡あり</t>
  </si>
  <si>
    <t>〒 152-0032
東京都目黒区平町１丁目２６−３ スミール都立大 2F　請求書送付〒385-0061
長野県佐久市岩村田1109-4
医療法人アレックス
木内宛kiuchi-yuki@ar-ex.jp</t>
  </si>
  <si>
    <t>都立大整形外科クリニック　　https://ar-ex.jp/toritsudai</t>
  </si>
  <si>
    <t>〒 156-0043
東京都世田谷区松原１丁目３８−２５　　請求書送付〒385-0061
長野県佐久市岩村田1109-4
kiuchi-yuki@ar-ex.jp医療法人アレックス
木内宛</t>
  </si>
  <si>
    <t>明大前整形外科クリニック　　https://ar-ex.jp/meidaimae</t>
  </si>
  <si>
    <t>済（2025/2/26松本）</t>
  </si>
  <si>
    <t>2025/2/20松本</t>
  </si>
  <si>
    <t>12/20契約書を再送</t>
  </si>
  <si>
    <t>3院目なのでなし</t>
  </si>
  <si>
    <t>大阪京橋イノルト整形外科 痛みと骨粗鬆症クリニック　https://inoruto-kyobashi.com/</t>
  </si>
  <si>
    <t>二院目なのでなし</t>
  </si>
  <si>
    <t>一般社団法人イノルトイノルト整形外科 横浜院 痛みと骨粗鬆症クリニック　https://inoruto-yokohama.jp/</t>
  </si>
  <si>
    <t>https://miyagi-oswc.com/notice/20250326-01.html</t>
  </si>
  <si>
    <t>JR仙台病院勤務医のときにお問い合わせあり、開業したので申し込み</t>
  </si>
  <si>
    <t>2/14（金）13:15～　4/24(木)9:30～＠表参道見学</t>
  </si>
  <si>
    <t>〒981-3620 宮城県黒川郡大和町しあわせの杜8番地の11</t>
  </si>
  <si>
    <t>宮城整形外科　スポーツ・ウェルネスクリニック　　https://miyagi-oswc.com/</t>
  </si>
  <si>
    <t>https://fplus-seikei.com/medical/medical10.html</t>
  </si>
  <si>
    <t>済（2025/2/6松本）</t>
  </si>
  <si>
    <t>2025/2/4松本</t>
  </si>
  <si>
    <t>筒井先生よりご連絡あり、以前契約しようとしていた</t>
  </si>
  <si>
    <t>以前にzoomした</t>
  </si>
  <si>
    <t>〒804-0067 福岡県北九州市戸畑区汐井町１番１号 戸畑駅２階</t>
  </si>
  <si>
    <t>医療法人 笑運舎　戸畑駅Fプラス整形外科　　 https://fplus-seikei.com/</t>
  </si>
  <si>
    <t>https://www.komatsuseikei.com/information/index.html#73a94fec</t>
  </si>
  <si>
    <t>2025/1/28松本</t>
  </si>
  <si>
    <t>以前からモヤモヤ血管治療・動注療法知っていましたが、当院でも動注療法の導入を検討しています。貴院での治療法の実際などの見学、及びライセンス契約などについて聞きたいためメールさせていただきました。当方は開業医のため見学日の第１希望はできれば土曜日ですが、第２希望は水曜日です。来年以降で調整して頂けると幸いです。</t>
  </si>
  <si>
    <t>1/9(木)13:30～</t>
  </si>
  <si>
    <t>あり（土・水）</t>
  </si>
  <si>
    <t>〒436-0025
静岡県掛川市下俣69番地の17号</t>
  </si>
  <si>
    <t>坂本整形外科　https://www.komatsuseikei.com/</t>
  </si>
  <si>
    <t>https://www.gumyoji-seikei.com/moamoya.html</t>
  </si>
  <si>
    <t>2025/1/24済（松本）</t>
  </si>
  <si>
    <t>2025/1/23松本</t>
  </si>
  <si>
    <t>川村正樹先生　ライセンス使用料について詳しくお伺いしたいです。具体的な金額や条件についてご教示いただけますでしょうか？
実際の手技に関するマニュアルや資料などをご提供いただけるかどうか、お伺いしたいです。よろしくお願いいたします。</t>
  </si>
  <si>
    <t xml:space="preserve">2/13（木）13:30～
</t>
  </si>
  <si>
    <t>〒232-0066神奈川県横浜市南区六ッ川1-81 FHCビル3階</t>
  </si>
  <si>
    <t>弘明寺整形外科リハビリテーションクリニック　https://www.gumyoji-seikei.com/</t>
  </si>
  <si>
    <t>Arthlex　webセミナー（2024/12/22)</t>
  </si>
  <si>
    <t xml:space="preserve">1/29（水）13:45～
</t>
  </si>
  <si>
    <t>〒655-0051 兵庫県神戸市垂水区舞多聞西５丁目１−３ノアすこやかプラザ舞多聞クリニックモール1F</t>
  </si>
  <si>
    <t>医療法人社団　三輪整形外科クリニック　　http://miwa-seikeigeka.clinic/</t>
  </si>
  <si>
    <t>https://shiroyama-itami.jp/information/</t>
  </si>
  <si>
    <t>2025/1/22松本</t>
  </si>
  <si>
    <t xml:space="preserve">エコー侍館山の安房地域医療センターで
スポーツ整形外科医として仕事をしています。
来年3月ごろに館山で開業予定ですが、
先生の多くの講演を拝聴させていただき
開業時にはライセンス契約をしたい
</t>
  </si>
  <si>
    <t>11/6(水)13:30～</t>
  </si>
  <si>
    <t>〒294-0037　
千葉県館山市長須賀309-1</t>
  </si>
  <si>
    <t>しろやまいたみのクリニック
https://shiroyama-itami.jp/</t>
  </si>
  <si>
    <t>済（2025/1/16松本）</t>
  </si>
  <si>
    <t>2025/1/14松本</t>
  </si>
  <si>
    <t>奥野先生より　　12/20事務長田中様へメール再送ken0711ichi@gmail.com契約書送付：医療法人Nクリニック　
　〒596-0045 大阪府岸和田市別所町3-10-10 2F
　TEL：072-432-4976</t>
  </si>
  <si>
    <t>1/10(金)13:15～　松村先生</t>
  </si>
  <si>
    <t>あり　1/9＠心斎橋</t>
  </si>
  <si>
    <t xml:space="preserve">〒550-0005
大阪府大阪市西区西本町１丁目４−１ オリックス本町ビル２階
</t>
  </si>
  <si>
    <t>本町Ｎクリニック　　https://www.n-cli.com/honmachi/</t>
  </si>
  <si>
    <t>https://matsumiya-clinic.com/intra-arterial-therapy/</t>
  </si>
  <si>
    <t>2025/5/16
2025/7/8
2025/9/3　1箱　横浜</t>
  </si>
  <si>
    <t>2025/1/9松本</t>
  </si>
  <si>
    <t>川村先生よりご一緒に見学希望とご連絡あり</t>
  </si>
  <si>
    <t>12/21(土)14:00～＠表参道見学済　zoom1/29(水)13:30～</t>
  </si>
  <si>
    <t>水、土
→2024/2/14,2/21,2/23打診し連絡待ちもご返信なし→12/14（土）坂井、12/21（土）中田、12/28（土）奥野、1/4（土）奥野、1/25（土）奥野</t>
  </si>
  <si>
    <t>〒231-0057
神奈川県横浜市中区曙町2-19-1 曙町新井ビル1F</t>
  </si>
  <si>
    <t>横濱 松宮整形外科リハビリテーションクリニック
http://www.matsumiya-clinic.com/</t>
  </si>
  <si>
    <t>請求しない（奥野先生より）</t>
  </si>
  <si>
    <t>2024/12/24合意書</t>
  </si>
  <si>
    <t>岩本先生が動注予定bwwd.iwaken.753@gmail.com</t>
  </si>
  <si>
    <t>2/14奥野先生外来　岩本先生</t>
  </si>
  <si>
    <t>〒192-0085　東京都八王子市中町5-1</t>
  </si>
  <si>
    <t>医療法人社団スポーツメディカル八王子スポーツ整形外科　https://sports-medical.net/</t>
  </si>
  <si>
    <t>済（2024/12/24松本）</t>
  </si>
  <si>
    <t>2025/4/25問合せあり</t>
  </si>
  <si>
    <t>2024/12/25松本</t>
  </si>
  <si>
    <t>2024/12/17合意書</t>
  </si>
  <si>
    <t>1/22(水)14:00～</t>
  </si>
  <si>
    <t>〒636-0002 奈良県北葛城郡王寺町王寺2丁目6-4 クレール吉田3F</t>
  </si>
  <si>
    <t>岩田ペインクリニック内科　https://iwata-pain.com/</t>
  </si>
  <si>
    <t>https://miya-ortho-clinic.com/news/</t>
  </si>
  <si>
    <t>済（2024/12/12松本）</t>
  </si>
  <si>
    <t>2024/12/9松本</t>
  </si>
  <si>
    <t>2024.11.26</t>
  </si>
  <si>
    <t>11/25(月)　13:30～</t>
  </si>
  <si>
    <t>〒640-8322
和歌山県和歌山市秋月474-1</t>
  </si>
  <si>
    <t>宮整形外科クリニック　https://miya-ortho-clinic.com/</t>
  </si>
  <si>
    <t>済（2024/11/19松本）</t>
  </si>
  <si>
    <t>2024/11/19松本</t>
  </si>
  <si>
    <t>奥野先生依頼　株式会社Curelity
共同創業者代表取締役CEO</t>
  </si>
  <si>
    <t xml:space="preserve">10/24(木)13:45～表参道見学
12/2（月）13:15～
</t>
  </si>
  <si>
    <t>見学のみ希望</t>
  </si>
  <si>
    <t>〒466-0051
愛知県名古屋市昭和区御器所２−１−３４　STELLA305</t>
  </si>
  <si>
    <t>2024/11/14済（松本）</t>
  </si>
  <si>
    <t>2024/11/14松本</t>
  </si>
  <si>
    <t>坂井先生ご紹介</t>
  </si>
  <si>
    <t>10/31(木)13:30～</t>
  </si>
  <si>
    <t>〒854-0034 
長崎県諫早市小野町３３２</t>
  </si>
  <si>
    <t>菅整形外科病院（すが）　https://s-ope1.wixsite.com/suga</t>
  </si>
  <si>
    <t>https://kasugaisports-seikei.com/injectiontherapy/</t>
  </si>
  <si>
    <t>2024/10/16済（松本）</t>
  </si>
  <si>
    <t>2024/10/17松本</t>
  </si>
  <si>
    <t>面谷 透 先生/ 東京先進整形外科より　医療法人絢南会</t>
  </si>
  <si>
    <t>10/7(月)13:30～</t>
  </si>
  <si>
    <t>〒486-0807 
愛知県春日井市大手町４丁目７−１</t>
  </si>
  <si>
    <t>医療法人絢南会　かすがい関節・スポーツ整形外科いたみのクリニック　　
https://kasugaisports-seikei.com/</t>
  </si>
  <si>
    <t>https://www.mori-locomo.com/medical/therapy-tame/</t>
  </si>
  <si>
    <t>2024/10/10松本</t>
  </si>
  <si>
    <t>新中野整形・リハビリテーションクリニック 岡部先生ご紹介</t>
  </si>
  <si>
    <t>10/18(金)13:15～</t>
  </si>
  <si>
    <t>〒386-1214 
長野県上田市下之郷乙346-7</t>
  </si>
  <si>
    <t>医療法人直佳会　森ロコモクリニック　　https://www.mori-locomo.com/</t>
  </si>
  <si>
    <t>https://hanyu-seikei.com/medicai/arterial-infusion/</t>
  </si>
  <si>
    <t>2024/11/30　12/17　1/17メール</t>
  </si>
  <si>
    <t>済（2024/10/7松本）</t>
  </si>
  <si>
    <t>2024/10/9松本</t>
  </si>
  <si>
    <t xml:space="preserve">ホームページの問い合わせメール
西国立整形外科　韓先生
</t>
  </si>
  <si>
    <t>9/20(金)　13:45~　　　</t>
  </si>
  <si>
    <t>〒343-0823 　
埼玉県越谷市相模町3-139-1</t>
  </si>
  <si>
    <t>医療法人社団　順生会はにゅう整形外科　　
https://hanyu-seikei.com/</t>
  </si>
  <si>
    <t>済（2024/10/4松本）</t>
  </si>
  <si>
    <t>2024/10/7松本</t>
  </si>
  <si>
    <t>2024/9/11松本</t>
  </si>
  <si>
    <t>澁谷先生より共有あり（2024/6/12西海）</t>
  </si>
  <si>
    <t>8/30(金)13：30～＠zoom</t>
  </si>
  <si>
    <t>12/25希望あり
奥野先生の日を希望</t>
  </si>
  <si>
    <t>〒463-0067
愛知県名古屋市守山区守山2丁目18番22号</t>
  </si>
  <si>
    <t>医療法人いつき会 守山いつき病院
https://moriyama-itsuki.com/</t>
  </si>
  <si>
    <t>https://tawaramachi.jp/news/337/</t>
  </si>
  <si>
    <t>2024/10/3松本</t>
  </si>
  <si>
    <t>問い合わせフォームより　講演をきいて</t>
  </si>
  <si>
    <t>9/25(水）13:00～</t>
  </si>
  <si>
    <t>〒910-0017 
福井県福井市文京２丁目１−１５</t>
  </si>
  <si>
    <t>医療法人喜生会たわらまち整形外科・内科クリニック　　
https://tawaramachi.jp/</t>
  </si>
  <si>
    <t>https://www.unayamaseikei.com/injection_treatment/</t>
  </si>
  <si>
    <t>1箱　2025/4/15横浜</t>
  </si>
  <si>
    <t>2024/9/10松本</t>
  </si>
  <si>
    <t>問い合わせメールより　村島一平様ご紹介（2024/8/13）</t>
  </si>
  <si>
    <t xml:space="preserve">
9/9(月)13:30～ zoom</t>
  </si>
  <si>
    <t>〒240-0054　
神奈川県横浜市保土ヶ谷区西谷4-5-1</t>
  </si>
  <si>
    <t>医療法人社団日輝会　うなやま整形外科　　　　　　　　　　　　https://www.unayamaseikei.com/</t>
  </si>
  <si>
    <t>https://itokawa-ortho.com/menu/%e3%81%b8%e3%83%90%e3%83%bc%e3%83%87%e3%83%b3%e7%b5%90%e7%af%80/</t>
  </si>
  <si>
    <t>研究会にといあわせあり</t>
  </si>
  <si>
    <t>9/5　12：30～＠zoom</t>
  </si>
  <si>
    <t>〒819-0161 
福岡県福岡市西区今宿東２丁目２３−番15</t>
  </si>
  <si>
    <t>糸川整形外科クリニック　　　https://itokawa-ortho.com/</t>
  </si>
  <si>
    <t>https://uchino-seikei.com/treatment/205/</t>
  </si>
  <si>
    <t>済（2024/8/20松本）</t>
  </si>
  <si>
    <t>済（2024/8/13）</t>
  </si>
  <si>
    <t xml:space="preserve">石田岳 先生よりご紹介　　1/25クリニックの事情（マンパワー不足で保留）→2024/7/23再契約希望あり
</t>
  </si>
  <si>
    <t>2024/8/8奥野先生とzoom</t>
  </si>
  <si>
    <t>面談希望</t>
  </si>
  <si>
    <t>済2023/1/24</t>
  </si>
  <si>
    <t>〒950-2112 
新潟県新潟市西区内野町53-5</t>
  </si>
  <si>
    <t>医療法人社団　内野整形外科クリニック　https://uchino-seikei.com/</t>
  </si>
  <si>
    <t>https://iwashita-c.jp/news/327/</t>
  </si>
  <si>
    <t>済（2024/7/23松本）</t>
  </si>
  <si>
    <t>2024/7/23松本</t>
  </si>
  <si>
    <t>2024/7/12松本</t>
  </si>
  <si>
    <t>問合せメールより対応　大分大学放射線科/本郷哲央先生からのご紹介
→まずは博多など見学案内（中田先生・坂井先生でもOK）との奥野先生指示あり</t>
  </si>
  <si>
    <t>2024/7/22 13:15～Zoom
2024/8/21@博多見学</t>
  </si>
  <si>
    <t>〒873-0001
大分県杵築市杵築665番地655</t>
  </si>
  <si>
    <t>医療法人アドナイ　岩下クリニック
https://iwashita-c.jp/</t>
  </si>
  <si>
    <t>https://www.honjo-neurospine.jp/self_pay/pain</t>
  </si>
  <si>
    <t>奥野先生より指示あり対応</t>
  </si>
  <si>
    <t>2024/6/26＠銀座ご見学済</t>
  </si>
  <si>
    <t>〒367-0030
埼玉県本庄市早稲田の杜5丁目10-8</t>
  </si>
  <si>
    <t>本庄脳神経外科・脊椎外科
https://www.honjo-neurospine.jp/</t>
  </si>
  <si>
    <t>https://www.kazuclinic-ehime.com/arterial.html</t>
  </si>
  <si>
    <t>済（2024/7/16西海）</t>
  </si>
  <si>
    <t>2024/7/17松本</t>
  </si>
  <si>
    <t>見学日に契約希望ありとのことで奥野先生より指示いただき対応。個人契約案内可（2024/2/15確認済み）
→2月に初回メール済み、返信なし。
→フォーム入力あり
今年2月、表参道院に見学に行かせていただきました。
現在所属している愛媛生協病院から、2024年度中に開業しようと思っており、新規クリニックで動注治療を開始する予定です。
ライセンス契約を結ばせていただきたいと思っております。よろしくお願い申し上げます。</t>
  </si>
  <si>
    <t>2024/2/14@表参道ご見学済</t>
  </si>
  <si>
    <t>東京都内で1日見学希望
肩と膝を中心に、動注治療全般
8/30、9/6、9/13、9/20
東京以外⇒9/6、9/13、9/20</t>
  </si>
  <si>
    <t>〒790-0011
愛媛県松山市千舟町4丁目4-6
【開業前郵送先住所（自宅）】〒790-0923　愛媛県松山市北久米町741-2</t>
  </si>
  <si>
    <t>KAZU CLINIC
https://www.kazuclinic-ehime.com/</t>
  </si>
  <si>
    <t>https://www.tennoji-n.com/arterial-infusion-chemotherapy/</t>
  </si>
  <si>
    <t>CC入電
医療法人　永田整形外科（https://www.nagata-seikeigeka.com/）ご所属
→2024年12月開業予定のご自身のクリニックで導入希望（2024/7/5西海）</t>
  </si>
  <si>
    <t>2024/7/17 12:45～Zoom</t>
  </si>
  <si>
    <t>〒543-0056 
大阪府大阪市天王寺区堀越町11-11 天王寺ガーデンスクエア2F</t>
  </si>
  <si>
    <t>天王寺 整形外科クリニックN
https://www.tennoji-n.com/</t>
  </si>
  <si>
    <t>https://www.ando-hospital.com/publics/index/106/</t>
  </si>
  <si>
    <t>済（2024/7/12松本）</t>
  </si>
  <si>
    <t>済（2023/7/11西海）</t>
  </si>
  <si>
    <t>2024/7/11
→2024/7/19</t>
  </si>
  <si>
    <t>済（2024/7/4松本）
→法人名漢字誤りのため再送（2024/7/16西海）</t>
  </si>
  <si>
    <t>エコー侍が先生のクリニック見学した時に、打ち上げの食事会にご一緒させて頂きました。その時に先生から直接色々お話を伺いましたが、今ひとつ重い腰が上げられずにおりました。今回エコー侍のセミナーを拝見して、痛みに対する治療をする上で欠かせない治療法の一つであることを再認識しました。動注治療くらいは自分でもできなければと思いました。吉田先生の仙腸関節のコメントもとても参考になりました。もっと適応を広げてカテーテル治療をお願いしてみようと思いました。頑張ってみます。色々教えてください。
→再度契約希望の旨中松さんに連絡あり。対応済み（2024/6/26西海）</t>
  </si>
  <si>
    <t>今のところなし</t>
  </si>
  <si>
    <t>4/8リマインド、6月末に連絡くださり、7月頃契約予定</t>
  </si>
  <si>
    <t>〒213-0001
神奈川県川崎市高津区溝口1-5-2</t>
  </si>
  <si>
    <t>山本さんから担当変更のご連絡（2023/5/17定例）
→山本さん対応済み（5/18）
→担当者変更メール済（5/18西海）</t>
  </si>
  <si>
    <t>医療法人社団　滋恵会　安藤整形外科
http://www.ando-hospital.com/</t>
  </si>
  <si>
    <t>https://oono-clinic.com/medical/treatment1/treatment9/</t>
  </si>
  <si>
    <t>2024/7/6西海</t>
  </si>
  <si>
    <t>2024/3/22西海
→理事長（父）の同意が得られず一旦契約はなしに。契約書は破棄していただくようお伝え済（2024/3/27西海）
→契約希望、再送（2024/6/6西海）</t>
  </si>
  <si>
    <t>熊澤祐輔先生（くまざわ整形外科クリニック）、池田昌樹（池田整形外科リハビリテーションクリニック）からのご紹介
2026/3/9チラシ30追加</t>
  </si>
  <si>
    <t>2024/2/29 13:15～ Zoom
2024/3/20@表参道ご見学済</t>
  </si>
  <si>
    <t>〒790-0056
愛媛県松山市土居田町424-1</t>
  </si>
  <si>
    <t>おおの整形外科内科医院
https://oono-clinic.com/</t>
  </si>
  <si>
    <t>https://www.kyokuto.or.jp/symptom/tame.html</t>
  </si>
  <si>
    <t>済（2024/6/27西海）</t>
  </si>
  <si>
    <t>2024/6/17西海</t>
  </si>
  <si>
    <t>2023年1月契約予定、準備が整い次第、吉岡先生から連絡をいただく。</t>
  </si>
  <si>
    <t>2024/6/10 13:15～Zoom</t>
  </si>
  <si>
    <t>契約書確認待ち、9/22リマインド</t>
  </si>
  <si>
    <t>済(9/7)</t>
  </si>
  <si>
    <t>〒703-8265
岡山県岡山市中区倉田567-1</t>
  </si>
  <si>
    <t>山本さんから担当変更のご連絡（2023/5/17定例）
→山本さん対応済み（5/18）</t>
  </si>
  <si>
    <t>公益財団法人 操風会 岡山旭東病院 
https://www.kyokuto.or.jp/</t>
  </si>
  <si>
    <t>秘書もとづか様よりCC入電
最初はYouTubeで動注を知った→法人化し名称変更（2025/1連絡）</t>
  </si>
  <si>
    <t>2024/6/28 13:15～Zoom</t>
  </si>
  <si>
    <t>〒910-0859
福井県福井市日之出4-11-17</t>
  </si>
  <si>
    <t>医療法人Eternabloom　さくら通り整形外科クリニック
https://fukui-seikeigeka.com/</t>
  </si>
  <si>
    <t>済（2024/6/6西海）</t>
  </si>
  <si>
    <t>2024/6/5西海</t>
  </si>
  <si>
    <t>2024/5/20西海</t>
  </si>
  <si>
    <t>日体大クリニック解約に伴い、清水先生個人での契約へ変更希望あり、奥野先生指示（2023/12/26西海）
→今後開業予定（時期未定）のため先に個人契約希望（2024/5/17西海）</t>
  </si>
  <si>
    <t>〒224-0053
神奈川県横浜市都筑区池辺町4556-18（清水先生個人宅）</t>
  </si>
  <si>
    <t>済（2024/6/4西海）</t>
  </si>
  <si>
    <t>2024/5/29西海</t>
  </si>
  <si>
    <t>宮崎先生の同級生（2024/5/14宮崎先生より依頼あり対応）</t>
  </si>
  <si>
    <t>2024/6/7 13:15～Zoom
2024/6/26@心斎橋ご見学済</t>
  </si>
  <si>
    <t>あり
水曜PM@心斎橋</t>
  </si>
  <si>
    <t xml:space="preserve">
〒569-1121 
大阪府高槻市真上町1-3-28</t>
  </si>
  <si>
    <t>医療法人晴朗会
芥川きどクリニック
https://kido-paincl.com</t>
  </si>
  <si>
    <t>https://nakanoshima-iwaki-cl.jp/arterial-injection/</t>
  </si>
  <si>
    <t>済（2024/5/20西海）</t>
  </si>
  <si>
    <t>2024/5/17西海</t>
  </si>
  <si>
    <t>2024/4/23西海</t>
  </si>
  <si>
    <t>中之島セミナー。木曜日午後に見学時間があればお願いします。
CCに入電→エコー侍で知った。オクノクリニック心斎橋院にて動注治療をご自身が受けられたと仰せ。カルテ確認したところ過去にも動注治療契約検討の旨あり、フォーム入力歴確認（2024/4/5西海）
約1年半後に祷先生が独立予定（オーナー岩城先生には内密にとのこと）、100院超えても契約可能な旨ご連絡済み（2024/5/28奥野先生確認済）</t>
  </si>
  <si>
    <t>2024/5/1 13:15～Zoom
2024/5/21＠心斎橋ご見学予定
看護師東原絵里子様、住本千尋様ご同行</t>
  </si>
  <si>
    <t>あり
木曜PM＠心斎橋希望</t>
  </si>
  <si>
    <t>初回メール後レス無し。後日リマインド(2023/4/8）</t>
  </si>
  <si>
    <t>済1/30</t>
  </si>
  <si>
    <t>〒553-0003
大阪府大阪市福島区福島6-13-4</t>
  </si>
  <si>
    <t>医療法人啓信会　中之島いわき整形外科
https://nakanoshima-iwaki-cl.jp/</t>
  </si>
  <si>
    <t>https://www.ideta-ortho.com/arterial_injection/</t>
  </si>
  <si>
    <t>済（2024/4/23西海）</t>
  </si>
  <si>
    <t>2024/4/19西海</t>
  </si>
  <si>
    <t>2024/4/12西海</t>
  </si>
  <si>
    <t>筒井聡先生</t>
  </si>
  <si>
    <t>2024/4/12 13:15～Zoom</t>
  </si>
  <si>
    <t>〒855-0863
長崎県島原市親和町丁3565-11</t>
  </si>
  <si>
    <t>医療法人さわやか
いでた整形外科クリニック
https://www.ideta-ortho.com/</t>
  </si>
  <si>
    <t>https://kajitani-seikeigeka.com/echo#n25_01</t>
  </si>
  <si>
    <t>2025/6/17①箱　横浜より発送</t>
  </si>
  <si>
    <t>2024/4/18西海</t>
  </si>
  <si>
    <t>熊澤祐輔先生</t>
  </si>
  <si>
    <t>2024/4/18 13:00～Zoom
2024/5/16@表参道ご見学済
理学療法士 鵜澤克洋先生ご同行
→体調不良のため鵜澤先生見学なし</t>
  </si>
  <si>
    <t>〒409-0112
山梨県上野原市上野原3785-1</t>
  </si>
  <si>
    <t>医療法人 天地人
上野原梶谷整形外科
https://kajitani-seikeigeka.com/</t>
  </si>
  <si>
    <t>https://www.h-aoba.jp/subject/regenerative-medicine.html</t>
  </si>
  <si>
    <t>済（2024/4/8西海）</t>
  </si>
  <si>
    <t>2024/4/8西海</t>
  </si>
  <si>
    <t>2024/3/27西海</t>
  </si>
  <si>
    <t>奥野先生より指示いただき対応</t>
  </si>
  <si>
    <t>〒983-0039
宮城県仙台市宮城野区新田東1-9-1</t>
  </si>
  <si>
    <t>医療法人東あおば整形外科
東あおば整形外科スポーツ・リハビリクリニック
https://www.h-aoba.jp/</t>
  </si>
  <si>
    <t>https://sera-clinic.com/%e3%80%8c%e3%81%9d%e3%81%ae%e7%97%9b%e3%81%bf%e3%80%81%e3%83%a2%e3%83%a4%e3%83%a2%e3%83%a4%e8%a1%80%e7%ae%a1%e3%81%8c%e5%8e%9f%e5%9b%a0%e3%81%8b%e3%82%82%e3%81%97%e3%82%8c%e3%81%be%e3%81%9b%e3%82%93/</t>
  </si>
  <si>
    <t>2024/4/2西海</t>
  </si>
  <si>
    <t>問合せメールより対応
慶應義塾大学スポーツ医学総合センター（https://www.hosp.keio.ac.jp/annai/shinryo/sports/）ご所属
→2024年6月1日開業予定</t>
  </si>
  <si>
    <t>2024/4/5 13:15～Zoom</t>
  </si>
  <si>
    <t>〒153-0044
東京都目黒区大橋2-22-42 No.R池尻大橋4階
【開業前郵送先住所（自宅）】〒102-0081　東京都千代田区四番町4-6-1107</t>
  </si>
  <si>
    <t>池尻大橋せらクリニック
https://sera-clinic.com/</t>
  </si>
  <si>
    <t>https://koyu-clinic.com/medical/arterial</t>
  </si>
  <si>
    <t>済（2024/4/2西海）</t>
  </si>
  <si>
    <t>2024/4/1西海</t>
  </si>
  <si>
    <t>2024/3/22西海</t>
  </si>
  <si>
    <t>TAOA セミナー　yuseikai0820@outlook.jp　望月</t>
  </si>
  <si>
    <t>2024/3/22 12:45～Zoom</t>
  </si>
  <si>
    <t>〒335-0021 
埼玉県戸田市新曽1935-3 F.Azalea 1F</t>
  </si>
  <si>
    <t>医療法人勇誠会　こうゆうクリニック
https://koyu-clinic.com/</t>
  </si>
  <si>
    <t>https://kanoiwa-hospital.or.jp/%ef%bd%9e%e5%8b%95%e6%b3%a8%e6%b2%bb%e7%99%82%e9%96%8b%e5%a7%8b%e3%81%97%e3%81%be%e3%81%97%e3%81%9f%ef%bd%9e%e3%80%80%e6%89%8b%e8%b6%b3%e3%81%ae%e7%97%9b%e3%81%bf%e3%81%a7%e3%81%8a%e6%82%a9%e3%81%bf-2</t>
  </si>
  <si>
    <t>済（2024/3/27西海）</t>
  </si>
  <si>
    <t>2024/3/26西海</t>
  </si>
  <si>
    <t>2024/3/11西海</t>
  </si>
  <si>
    <t>くまざわ整形外科クリニック　東京先進整形外科　熊澤祐輔先生</t>
  </si>
  <si>
    <t>2024/3/11 13:00～Zoom</t>
  </si>
  <si>
    <t>あり
→ご希望の際連絡くださいます。</t>
  </si>
  <si>
    <t>〒405-0018
山梨県山梨市上神内川1309</t>
  </si>
  <si>
    <t>社会医療法人　加納岩
加納岩総合病院
https://kanoiwa-hospital.or.jp/</t>
  </si>
  <si>
    <t>https://ishio-painclinic.com/treatment/special.html</t>
  </si>
  <si>
    <t>済（2024/3/22西海）</t>
  </si>
  <si>
    <t>2025/8/29　1箱横浜</t>
  </si>
  <si>
    <t>2024/3/18西海</t>
  </si>
  <si>
    <t>澁谷真彦先生</t>
  </si>
  <si>
    <t>三宮見学済み
2024/3/22 13:00～Zoom</t>
  </si>
  <si>
    <t>〒561-0802
大阪府豊中市曽根東町2丁目1番1号3階
【開業前郵送先住所】〒658-0072 兵庫県神戸市東灘区岡本7-21-2</t>
  </si>
  <si>
    <t>いしお痛みのクリニック
https://ishio-painclinic.com/</t>
  </si>
  <si>
    <t>https://www.haku89.com/freemedical/#catheter</t>
  </si>
  <si>
    <t>なしホームページ見直し中</t>
  </si>
  <si>
    <t>済（2024/3/4西海）</t>
  </si>
  <si>
    <t>2024/3/4西海</t>
  </si>
  <si>
    <t>2024/2/28西海</t>
  </si>
  <si>
    <t>〒165-0032
東京都中野区鷺宮四丁目2番3号　協立ビル2階
書類の郵送は本院住所、福西様宛</t>
  </si>
  <si>
    <t xml:space="preserve">医療法人社団ONETEAM　鷺宮はく整形外科　　https://saginomiya-haku89.com/
</t>
  </si>
  <si>
    <t>https://inoruto.or.jp/moyamoya/</t>
  </si>
  <si>
    <t>済（2024/3/4西海）
→イノルト整形外科 藤沢院 痛みと骨粗鬆症クリニックの名称でライセンス証書再郵送済み（2024/5/20西海）</t>
  </si>
  <si>
    <t>2025/5/16　1箱横浜
2025/8/1　1箱横浜</t>
  </si>
  <si>
    <t>2024/2/27西海
名義変更覚書郵送（2024/5/9西海）
→2024/5/16覚書返送あり</t>
  </si>
  <si>
    <t>2024/2/21@表参道ご見学済</t>
  </si>
  <si>
    <t>〒251-0024
神奈川県藤沢市鵠沼橘1-1-1 第2外岡ビル3階</t>
  </si>
  <si>
    <t>医療法人社団正順会
イノルト整形外科 藤沢院 痛みと骨粗鬆症クリニック
（2024/3/1時点：医療法人社団正順会 藤沢駅前順リハビリ整形外科）
https://inoruto-fujisawa.jp/</t>
  </si>
  <si>
    <t>https://chibanewtownseikei.com/arterial-injection/</t>
  </si>
  <si>
    <t>55000円2/28メール</t>
  </si>
  <si>
    <t>済（2024/2/28西海）</t>
  </si>
  <si>
    <t>2024/2/26西海</t>
  </si>
  <si>
    <t>2024/2/8西海</t>
  </si>
  <si>
    <t>奥野先生より指示いただき対応
医療法人平成博愛会 印西総合病院（https://inzai-hospital.jp/）ご所属→2024年6月開業予定</t>
  </si>
  <si>
    <t>2024/4/18＠銀座ご見学済</t>
  </si>
  <si>
    <t>あり
4月木曜AM希望</t>
  </si>
  <si>
    <t>〒270-1350
千葉県印西市中央北1−１APOLLO PLANT MALL 2F
【開業前郵送先住所（自宅）】〒270-1318　千葉県印西市小林2004-5</t>
  </si>
  <si>
    <t>印西千葉ニュータウン整形外科リハビリテーションクリニック
https://chibanewtownseikei.com/</t>
  </si>
  <si>
    <t>https://www.matsuguchi-seikei.com/discription/</t>
  </si>
  <si>
    <t>済（2024/2/20西海）</t>
  </si>
  <si>
    <t>2024/2/15西海</t>
  </si>
  <si>
    <t>TAOAを視聴</t>
  </si>
  <si>
    <t>2024/2/8 13:15～ Zoom</t>
  </si>
  <si>
    <t>〒814-0002
福岡県福岡市早良区西新4丁目9-35　真栄ビル3階</t>
  </si>
  <si>
    <t>医療法人　松口整形外科クリニック
https://www.matsuguchi-seikei.com/</t>
  </si>
  <si>
    <t>https://sites.google.com/view/etp-nagasaki/%E6%B2%BB%E7%99%82%E6%96%B9%E6%B3%95/%E5%8B%95%E6%B3%A8%E6%B2%BB%E7%99%82?authuser=0</t>
  </si>
  <si>
    <t>120000円</t>
  </si>
  <si>
    <t>済（2024/1/30西海）
→へバーデンポスター・チラシ誤植のため再送済（2024/2/20西海）</t>
  </si>
  <si>
    <t>2024/1/30西海</t>
  </si>
  <si>
    <t>2024/1/22西海</t>
  </si>
  <si>
    <t>奥野先生とご相談され、中條さん経由で案内指示あり</t>
  </si>
  <si>
    <t>〒850-0056
長崎県長崎市恵美須町4-1</t>
  </si>
  <si>
    <t>医療法人 メディカル・セブン
ながさきハートクリニック
http://www.nagasaki-hc.com/</t>
  </si>
  <si>
    <t>済（2024/1/30西海）</t>
  </si>
  <si>
    <t>2024/2/1 13:30～ Zoom</t>
  </si>
  <si>
    <t>あり 水曜
→2024/2/14,3/20打診も返信なし</t>
  </si>
  <si>
    <t>〒425-0073
静岡県焼津市小柳津210</t>
  </si>
  <si>
    <t>医療法人社団一全会
はら整形外科クリニック
https://www.hara-orthopaedic-cl.com/</t>
  </si>
  <si>
    <t>55000円</t>
  </si>
  <si>
    <t>済（2024/1/10西海）</t>
  </si>
  <si>
    <t>2024/1/11西海</t>
  </si>
  <si>
    <t>2023/12/27西海</t>
  </si>
  <si>
    <t>札幌医科大学　整形外科　塩泡　孝介
膝関節学会にて奥野先生にお話を伺いました。
12／18札幌にて、見学させて頂きます。よろしくお願いいたします。</t>
  </si>
  <si>
    <t>2023/12/18@札幌ご見学済</t>
  </si>
  <si>
    <t>〒060-0041 
北海道札幌市中央区大通東4丁目1-19
大通東やまむらセンタービル</t>
  </si>
  <si>
    <t>医療法人社団　石史山会
札幌スポーツクリニック
https://www.sapporo-sports-clinic.jp/</t>
  </si>
  <si>
    <t>https://www.asago-fujii-seikeigeka-clinic.com/%E3%82%AF%E3%83%AA%E3%83%8B%E3%83%83%E3%82%AF%E3%81%AE%E7%B4%B9%E4%BB%8B/%E5%8B%95%E6%B3%A8%E6%B2%BB%E7%99%82-%E5%BD%93%E9%99%A2%E3%81%A7%E8%A1%8C%E3%81%86%E8%87%AA%E7%94%B1%E8%A8%BA%E7%99%82%EF%BC%93/</t>
  </si>
  <si>
    <t>20025./1/17</t>
  </si>
  <si>
    <t>済（2024/1/5西海）</t>
  </si>
  <si>
    <t>2024/1/4西海</t>
  </si>
  <si>
    <t>2023/12/21西海</t>
  </si>
  <si>
    <t>問合せメールより対応</t>
  </si>
  <si>
    <t>2024/1/10 13:15～ Zoom
2024/1/13@三宮ご見学済</t>
  </si>
  <si>
    <t>〒669-5102
兵庫県朝来市山東町大垣61-2</t>
  </si>
  <si>
    <t>朝来ふじい整形外科クリニック
https://www.asago-fujii-seikeigeka-clinic.com/</t>
  </si>
  <si>
    <t>3/17.4/8催促</t>
  </si>
  <si>
    <t>2023/12/26西海</t>
  </si>
  <si>
    <t>済（2023/5/17西海）
→再送済（2023/12/21西海）</t>
  </si>
  <si>
    <t>ライセンスの話は出ていないが、整形外科医として興味がある。11月12日に見学。
2023/6/1契約で書類発送するも戻りなし。紛失されたとのことで契約日空欄で再送済み（2023/12/21西海）</t>
  </si>
  <si>
    <t>2022/11/12@表参道見学済み
2023/5/11　Zoom面談
→診療押し入室なし。
面談不要で契約へ（奥野先生指示）</t>
  </si>
  <si>
    <t>山本さんよりリマインド(20233/18と4/8）</t>
  </si>
  <si>
    <t>済(谷掛先生よりご紹介）</t>
  </si>
  <si>
    <t>〒465-0097
愛知県名古屋市名東区平和が丘1丁目10番地</t>
  </si>
  <si>
    <t>担当者変更メール済（5/16西海）
→契約書発送から西海対応(2023/5/17)</t>
  </si>
  <si>
    <t>医療法人名古屋究佳会　さいとう整形外科リウマチ科
https://saito-seikei.jp/concept/</t>
  </si>
  <si>
    <t>北海道再生医療研究所名義で入金予定（2024/2/13)
→2024/2/14付で入金確認済み</t>
  </si>
  <si>
    <t>済（2023/12/21西海）</t>
  </si>
  <si>
    <t>2023/12/19西海</t>
  </si>
  <si>
    <t>2023/12/7西海</t>
  </si>
  <si>
    <t>不要、11/15奥野先生確認済</t>
  </si>
  <si>
    <t>〒064-0953 
北海道札幌市中央区宮の森3条12丁目1-1 愛生舘ラボ</t>
  </si>
  <si>
    <t>医療法人社団愛生舘　HoRM CLINIC（ホルムクリニック）
https://horm.co.jp/</t>
  </si>
  <si>
    <t>http://www.hata-seikei.com/selfpay.html</t>
  </si>
  <si>
    <t>済（2023/12/7西海）</t>
  </si>
  <si>
    <t>2023/12/6西海</t>
  </si>
  <si>
    <t>2023/11/29西海</t>
  </si>
  <si>
    <t>間庭圭一先生</t>
  </si>
  <si>
    <t>2023/11/13 13:00～ Zoom</t>
  </si>
  <si>
    <t>〒270-0119　
千葉県流山市おおたかの森北3-2-17</t>
  </si>
  <si>
    <t>医療法人有壬会　はた整形外科
http://www.hata-seikei.com/</t>
  </si>
  <si>
    <t>2024/9/30※10/9.11/7に督促メール</t>
  </si>
  <si>
    <t>2024/8/13松本</t>
  </si>
  <si>
    <t>2023/12/31
→架電し振込依頼済
（2024/3/18西海）</t>
  </si>
  <si>
    <t>済（2023/11/29西海）</t>
  </si>
  <si>
    <t>済（2023/11/27西海）</t>
  </si>
  <si>
    <t>中ノ島セミナーより。可能であれば見学をさせていただきたいです。</t>
  </si>
  <si>
    <t>2023/4/13 11:00～　Zoom
2023/5/25＠表参道見学済</t>
  </si>
  <si>
    <t>〒920-0842 
石川県金沢市元町2丁目20番23号</t>
  </si>
  <si>
    <t>見学リマインドから西海対応
→山本さんより担当変更のご連絡（5/18)
→担当者変更メール済（5/18西海）</t>
  </si>
  <si>
    <t>たが整形外科クリニック
https://taga.clinic/aboutus</t>
  </si>
  <si>
    <t>http://www.miyataseikei.com/orthopedics/heberden/</t>
  </si>
  <si>
    <t>2024/11/20　郵送</t>
  </si>
  <si>
    <t>2023/12/31
→架電し振込依頼済
（2024/3/7西海）</t>
  </si>
  <si>
    <t>済（2023/11/21西海）</t>
  </si>
  <si>
    <t>藤原先生に送付（2023/11/20西海）</t>
  </si>
  <si>
    <t>2023/11/10西海</t>
  </si>
  <si>
    <t>藤原先生のお義父様のクリニック</t>
  </si>
  <si>
    <t>〒474-0035 
愛知県大府市江端町3-76</t>
  </si>
  <si>
    <t>宮田整形外科・皮フ科
http://www.miyataseikei.com/</t>
  </si>
  <si>
    <t>https://waseda-foot.jp/arterial_injection_therapy.html</t>
  </si>
  <si>
    <t>2024/10/11松本</t>
  </si>
  <si>
    <t>60500円</t>
  </si>
  <si>
    <t>済（2023/10/6西海）</t>
  </si>
  <si>
    <t>2023/10/2西海</t>
  </si>
  <si>
    <t>2023/9/25西海</t>
  </si>
  <si>
    <t>エコー侍</t>
  </si>
  <si>
    <t>2023/8/10 16:30～　Zoom
①2023/11/8＠表参道ご見学済
看護師榎本浩子様ご同行
②2024/1/17＠表参道ご見学済
非常勤医師梅津太郎先生ご同行
③2024/3/27@表参道ご見学済</t>
  </si>
  <si>
    <t>〒201-0002
東京都狛江市東野川2-20-5エストヴィアン1F</t>
  </si>
  <si>
    <t>医療法人社団　医生会　わせだ整形外科
https://waseda-foot.jp/</t>
  </si>
  <si>
    <t>https://shimizu-pain.com/own.html</t>
  </si>
  <si>
    <t>2023/10/6 13:00～ Zoom</t>
  </si>
  <si>
    <t>〒424-0847
静岡県静岡市清水区大坪2丁目6番1号</t>
  </si>
  <si>
    <t>清水ペインクリニック
https://shimizu-pain.com/</t>
  </si>
  <si>
    <t>236500円</t>
  </si>
  <si>
    <t>済（2023/9/25西海）</t>
  </si>
  <si>
    <t>2023/9/22西海</t>
  </si>
  <si>
    <t>2023/9/14西海</t>
  </si>
  <si>
    <t>オクノクリニック勤務。奥野先生とお話済み。8/25藤原さんより対応依頼あり。</t>
  </si>
  <si>
    <t>〒194-0035
東京都町田市忠生2丁目28-7
ロイヤルヒルズK1階</t>
  </si>
  <si>
    <t>ただおクリニックプラス
https://machida-varix.jp/</t>
  </si>
  <si>
    <t>https://mishima-itami.com/%e5%8b%95%e6%b3%a8%e7%99%82%e6%b3%95</t>
  </si>
  <si>
    <t>2023/9/4西海</t>
  </si>
  <si>
    <t>済（2023/8/24西海）</t>
  </si>
  <si>
    <t>寺田先生、靱負先生については個人での契約でも可（11/21奥野先生より指示）→個人かクリニックかで検討中なので待ち（12/8時点）
【開業前郵送先】
〒411-0942　静岡県三島市長泉町612-12</t>
  </si>
  <si>
    <t>2022/11/21@表参道見学済み</t>
  </si>
  <si>
    <t>2023年10月開業のため夏ごろに確認</t>
  </si>
  <si>
    <t>済10/25</t>
  </si>
  <si>
    <t>〒411-0856
静岡県三島市広小路町9−16
クボタハイツ1階</t>
  </si>
  <si>
    <t>山本さんから担当変更のご連絡（2023/5/17定例）
→山本さん対応済み（5/19）
→担当者変更メール済み（5/19西海）</t>
  </si>
  <si>
    <t>みしま　痛み＆リハビリクリニック
https://mishima-itami.com/</t>
  </si>
  <si>
    <t>http://www.m-o-clinic.com/douchuu/</t>
  </si>
  <si>
    <t>2025/11/</t>
  </si>
  <si>
    <t>187000円</t>
  </si>
  <si>
    <t>済（2023/8/29西海）</t>
  </si>
  <si>
    <t>2023/8/29西海</t>
  </si>
  <si>
    <t>2023/8/22西海</t>
  </si>
  <si>
    <t>先進運動器エコー研究会、SMAPなどの講演で</t>
  </si>
  <si>
    <t>2023/8/31 13:15～　Zoom
2023/9/28@表参道ご見学済</t>
  </si>
  <si>
    <t>〒514-0826
三重県津市野田33-3</t>
  </si>
  <si>
    <t>医療法人　むらしま整形外科　
http://www.m-o-clinic.com/</t>
  </si>
  <si>
    <t>https://hiragishi-pain.com/faq/arterial_injection/</t>
  </si>
  <si>
    <t>済（2023/8/15西海）</t>
  </si>
  <si>
    <t>済（2023/8/10西海）</t>
  </si>
  <si>
    <t>済（2023/8/3西海）</t>
  </si>
  <si>
    <t>エコー侍のセミナー</t>
  </si>
  <si>
    <t>2023/8/15 13:00～　Zoom</t>
  </si>
  <si>
    <t>あり
→現状なし</t>
  </si>
  <si>
    <t>〒062-0932
北海道札幌市豊平区平岸2条7丁目3-1アルファビルⅣ 3階</t>
  </si>
  <si>
    <t>平岸ペインクリニック
https://hiragishi-pain.com/</t>
  </si>
  <si>
    <t>118250円</t>
  </si>
  <si>
    <t>済（2023/7/28西海）</t>
  </si>
  <si>
    <t>済（2023/7/18西海）</t>
  </si>
  <si>
    <t>HPより問い合わせ。
はじめまして札幌で整形外科クリニックを開院しているDo-Clinicの道家と申します。
血管内治療については以前から興味を持っておりましたが、自分が開院して間もないことなどから、手が出せずにいました。
カテーテル治療はできませんが、動脈注射であればエコー診療を行っているのでできるのではと思っています。
適応や方法などご教示いただきたいです。
またライセンス契約が必要と伺いました。
詳細を教えていただけますと幸いです。
どうぞよろしくお願いいたします。</t>
  </si>
  <si>
    <t>2023/5/16＠札幌見学済</t>
  </si>
  <si>
    <t>〒060-0061
北海道札幌市中央区南1条西14丁目291-81 ウィステリア南1条ビル3F</t>
  </si>
  <si>
    <t>契約検討
山本さんから担当変更のご連絡済み（2023/5/17）</t>
  </si>
  <si>
    <t>医療法人社団　Do-Clinic 整形・運動器リハビリテーション（ドゥクリニック）
https://www.do-clinic.jp/</t>
  </si>
  <si>
    <t>https://togo-clinic.com/orthopedics/</t>
  </si>
  <si>
    <t>2024/7/9西海</t>
  </si>
  <si>
    <t>済（2023/7/10西海）</t>
  </si>
  <si>
    <t>済（2023/6/27西海）</t>
  </si>
  <si>
    <t>先進整形外科エコー研究会
おそらくこちらのクリニック→http://www.togo-clinic.com/</t>
  </si>
  <si>
    <t>2023/6/17＠表参道ご見学済</t>
  </si>
  <si>
    <t>〒385-0055
長野県佐久市三塚191−36</t>
  </si>
  <si>
    <t>山本さんから担当変更のご連絡済（2023/5/17）
→担当者変更メール済。
見学リマインド西海対応（5/18西海）</t>
  </si>
  <si>
    <t>医療法人都甲クリニック
https://togo-clinic.com/</t>
  </si>
  <si>
    <t>https://www.kato-seikei.or.jp/treatment/#a05</t>
  </si>
  <si>
    <t>2024/6/7西海</t>
  </si>
  <si>
    <t>済（2023/6/5西海）</t>
  </si>
  <si>
    <t>研究会のメールにご連絡。1/29中ノ島運動器研究会で奥野先生の講演を拝聴・</t>
  </si>
  <si>
    <t>2023/5/31 20:15~　Zoom</t>
  </si>
  <si>
    <t>初回メール後レス無し。後日リマインド(2023/2/15)</t>
  </si>
  <si>
    <t>済2/2</t>
  </si>
  <si>
    <t>〒444-0852
愛知県岡崎市南明大寺町3番地10</t>
  </si>
  <si>
    <t>Zoomリマインドから西海対応
→山本さんより担当変更のご連絡（5/18)
→担当者変更メール済（5/18西海）</t>
  </si>
  <si>
    <t>医療法人藤幸会　かとう整形外科https://www.kato-seikei.or.jp/doctor/</t>
  </si>
  <si>
    <t>https://www.west-umeda-clinic.com/arterial_injection/</t>
  </si>
  <si>
    <t>192,500円</t>
  </si>
  <si>
    <t>済（2023/6/13西海）</t>
  </si>
  <si>
    <t>開業前に伴い郵送物は下記へ郵送指示あり
〒531-0072大阪市北区豊崎3-16-16 3012小田晃義宛</t>
  </si>
  <si>
    <t>〒530-0001
大阪府大阪市北区梅田3-4-5毎日インテシオ2階</t>
  </si>
  <si>
    <t xml:space="preserve">西梅田静脈瘤・痛みのクリニックhttps://www.west-umeda-clinic.com/
</t>
  </si>
  <si>
    <t>済（2023/6/20西海）</t>
  </si>
  <si>
    <t>済</t>
  </si>
  <si>
    <t>済（2023/6/16西海）</t>
  </si>
  <si>
    <t>宇野病院との契約解除に伴い特別に個人契約へ。
複数の病院で勤務しているがすべての病院で対応可。2023/6/13奥野先生確認済み</t>
  </si>
  <si>
    <t>2023/3/25＠表参道見学済</t>
  </si>
  <si>
    <t>〒444-0015
愛知県岡崎市中町長狭間12-4（柵木先生個人宅）</t>
  </si>
  <si>
    <t>https://ar-ex.jp/ueda/776404342789/%E5%8B%95%E6%B3%A8%E6%B2%BB%E7%99%82%E3%80%9C%E3%83%A2%E3%83%A4%E3%83%A2%E3%83%A4%E8%A1%80%E7%AE%A1%E6%B2%BB%E7%99%82%E3%80%9C</t>
  </si>
  <si>
    <t>2024/6/3西海</t>
  </si>
  <si>
    <t>85,250円</t>
  </si>
  <si>
    <t>医療法人アレックス　2施設契約希望
契約までのメールでのやりとりは経理 木内由紀様と</t>
  </si>
  <si>
    <t>〒386-0018
長野県上田市常田2-15-16　安田様宛</t>
  </si>
  <si>
    <t>初回から西海対応</t>
  </si>
  <si>
    <t>医療法人アレックス 上田整形外科内科
https://ar-ex.jp/ueda</t>
  </si>
  <si>
    <t>https://ar-ex.jp/oyamadai/282080593801/%E3%83%A2%E3%83%A4%E3%83%A2%E3%83%A4%E8%A1%80%E7%AE%A1%E6%B2%BB%E7%99%82-%E5%8B%95%E6%B3%A8%E6%B2%BB%E7%99%82</t>
  </si>
  <si>
    <t>118,250円
※医療法人アレックス名義で2施設合算で入金予定
AR-Ex尾山台整形外科118,250円＋上田整形外科内科85,250円で計203,500円</t>
  </si>
  <si>
    <t>林英俊、清水勇樹</t>
  </si>
  <si>
    <t>2023/5/29 13:15～　Zoom
2023/7/17＠表参道ご見学済</t>
  </si>
  <si>
    <t>〒158-0082
東京都世田谷区等々力4-13-1　榎本様宛</t>
  </si>
  <si>
    <t>zoom面談候補日確定まで山本さん対応予定（2023/5/18）
→山本さんより担当変更のご連絡（5/23)
→zoomご案内から西海対応、メール送信済み（5/23西海）</t>
  </si>
  <si>
    <t>医療法人アレックス AR-Ex尾山台整形外科
https://ar-ex.jp/oyamadai</t>
  </si>
  <si>
    <t>https://yanase-orc.com/new_treatments/arterialinjection</t>
  </si>
  <si>
    <t>2024/5/8西海</t>
  </si>
  <si>
    <t>5月</t>
  </si>
  <si>
    <t>済（2023/5/17西海）</t>
  </si>
  <si>
    <t>済（2023/4/21）</t>
  </si>
  <si>
    <t>ご紹介者なし　医療法人化したと（2025/1/30）</t>
  </si>
  <si>
    <t>2023/5/27＠表参道見学済</t>
  </si>
  <si>
    <t>〒640-8444
和歌山県和歌山市次郎丸167-2</t>
  </si>
  <si>
    <t>証書、ポスター類発送済み（2023/5/17西海）
→契約後のご案内メール送信済み（5/18西海）</t>
  </si>
  <si>
    <t>医療法人優真会やなせ整形外科
https://yanase-orc.com/</t>
  </si>
  <si>
    <t>2024/4/15西海</t>
  </si>
  <si>
    <t>2023/5/10山本さんへ</t>
  </si>
  <si>
    <t>済（2023/4/24）　
→名称変更のため、再送(2023/4/26)</t>
  </si>
  <si>
    <t>東京医科大学勤務。研究会メールに問い合わせあり。金澤先生ご紹介。笹島整形外科は村田先生が買い取りをしてクリニックを継承。</t>
  </si>
  <si>
    <t>〒191-0031
東京都日野市高幡1009-4</t>
  </si>
  <si>
    <t>医療法人社団　笹島整形外科クリニック
https://sasajima-seikei.jp/</t>
  </si>
  <si>
    <t>不可</t>
  </si>
  <si>
    <t>2024/4/30西海</t>
  </si>
  <si>
    <t>118,250円</t>
  </si>
  <si>
    <t>2023/4/26山本さんへ</t>
  </si>
  <si>
    <t>川崎医科大学山本先生からのご紹介で檜垣先生と一緒にTAMEと動注を見学済み</t>
  </si>
  <si>
    <t>2023/4/15＠表参道見学済</t>
  </si>
  <si>
    <t>〒732-0014
広島県広島市東区戸坂大上4丁目29番13号</t>
  </si>
  <si>
    <t>医療法人龍樹会　池田整形外科リハビリテーションクリニック
https://www.ikedaclinic.website/</t>
  </si>
  <si>
    <t>60,500円</t>
  </si>
  <si>
    <t>2023/4/21山本さんへ</t>
  </si>
  <si>
    <t>済(2023/4/6)　</t>
  </si>
  <si>
    <t>中之島運動研究会
カテーテルライセンス契約について詳細説明（2023/7/13奥野先生対応予定）</t>
  </si>
  <si>
    <t>2023/3/23＠天神見学済</t>
  </si>
  <si>
    <t>〒892-0823
鹿児島県鹿児島市住吉町12-16
事務長　丸山　早央里様</t>
  </si>
  <si>
    <t>医療法人社団SEISEN　清泉クリニック整形外科内科
https://seisen.info/kagoshima/</t>
  </si>
  <si>
    <t>https://www.kngs-ortho.com/self-pay.html#moyamoya</t>
  </si>
  <si>
    <t>2024/5/1西海</t>
  </si>
  <si>
    <t>2023/4/20
名称変更のため再送
（2023/5/31奥山さん対応済み）</t>
  </si>
  <si>
    <t>2023/4/20山本さんへ
再度請求書発行（2023/5/31西海）</t>
  </si>
  <si>
    <t>2023/4/20山本さんへ</t>
  </si>
  <si>
    <t>2023/4/20
→名義変更済み契約書
返送2023/6/8</t>
  </si>
  <si>
    <t>済（2023/4/13）
名称変更の連絡あり、契約書再送(5/31奥山さん対応済み）</t>
  </si>
  <si>
    <t>横浜市立大学整形外科宮武和馬先生</t>
  </si>
  <si>
    <t>-</t>
  </si>
  <si>
    <t>〒238-0031
神奈川県横須賀市衣笠栄町2-1-2　夢Qビル1F
【開業前郵送先】
〒237-0066神奈川県横須賀市湘南鷹取3-8-6　手塚　太郎様</t>
  </si>
  <si>
    <t>衣笠駅前整形外科リハビリ・骨粗鬆症クリニック
https://www.kngs-ortho.com/</t>
  </si>
  <si>
    <t>https://kamoiclinic.org/medical_guide/arterial_embolization/</t>
  </si>
  <si>
    <t>2024/4/9西海</t>
  </si>
  <si>
    <t>176,000円</t>
  </si>
  <si>
    <t>2023/4/11山本さんへ</t>
  </si>
  <si>
    <t>ご紹介者なし。</t>
  </si>
  <si>
    <t>2023/4/19 20:15～　Zoom
2023/5/3＠表参道見学済</t>
  </si>
  <si>
    <t>〒399-0703
長野県塩尻市広丘高出2199-2</t>
  </si>
  <si>
    <t>医療法人弘仁会　かもいクリニック
https://kamoiclinic.org/</t>
  </si>
  <si>
    <t>メール済</t>
  </si>
  <si>
    <t>佐藤整形外科内科クリニックの名称で発行
2024/5/9</t>
  </si>
  <si>
    <t>2024/4/1
請求書発行前に事前にお振込みいただいていました。松浦様確認済み（2024/4/25西海）</t>
  </si>
  <si>
    <t>2024/4/10西海</t>
  </si>
  <si>
    <t>2023/4/6山本さんへ</t>
  </si>
  <si>
    <t>済（2023/3/30）</t>
  </si>
  <si>
    <t>本部にTEL(3/15)宮武先生のご紹介とのこと。
ご連絡先担当は松浦様。勤務しているのは有馬先生。</t>
  </si>
  <si>
    <t>〒111-0055
東京都台東区三筋1-7-3 MDX浅草橋4F</t>
  </si>
  <si>
    <t>医療法人社団　森海星
佐藤整形外科内科クリニック
（2023/3/28時点：医療法人社団 佐藤整形外科の名称で契約締結→2024/4/23時点で登記手続き終了も受理待ち、完了次第ご連絡いただく事に）
https://www.sato-seikei-hiro.com/</t>
  </si>
  <si>
    <t>医療法人　弘和会　松田整形外科医院
→松田整形外科ペインクリニック　　https://m-orthopain.com/</t>
  </si>
  <si>
    <t>2024/4/5西海</t>
  </si>
  <si>
    <t>2023/4/3山本さんへ</t>
  </si>
  <si>
    <t>5/14、5/29郵送、7/5メール</t>
  </si>
  <si>
    <t>HPよりお問い合わせ。知人からの紹介江戸川病院 スポーツ医学科 岩本 航先生。愛知県でリウマチ治療をされているとのこと
2026/3/9合意書受け取り</t>
  </si>
  <si>
    <t>〒471-0835
愛知県豊田市曙町2丁目16番地 BULS16 103号</t>
  </si>
  <si>
    <t>見学日確認と入金確認から西海対応(2023/5/17)
→メール送信済み　返信待ち（5/17西海）→2024/10/10入金ないため再度督促メール（松本）
→なかむら先生同日見学希望。難しい旨メール済み（5/22西海）</t>
  </si>
  <si>
    <t>豊田土橋リウマチクリニック
https://rheumatology.co.jp/</t>
  </si>
  <si>
    <t>HPなし</t>
  </si>
  <si>
    <t>✔3月</t>
  </si>
  <si>
    <t>2023/3/20山本さんへ</t>
  </si>
  <si>
    <t>済(2023/3/14 )</t>
  </si>
  <si>
    <t>奥野先生web講演</t>
  </si>
  <si>
    <t>〒899-0212 
鹿児島県出水市上知識町856</t>
  </si>
  <si>
    <t>医療法人　建仁会　平田整形外科クリニック
http://www.kagoshima.med.or.jp/map/index/1283.html</t>
  </si>
  <si>
    <t>https://inagihirao-seikei.clinic/arterial-injection-therapy.html</t>
  </si>
  <si>
    <t>228,250円</t>
  </si>
  <si>
    <t>日体大清水先生ご紹介</t>
  </si>
  <si>
    <t>〒206-0823
東京都稲城市平尾4-24−1</t>
  </si>
  <si>
    <t>稲城平尾整形外科クリニック
https://inagihirao-seikei.clinic/</t>
  </si>
  <si>
    <t>フォームに入力あり（8/28)、リマインド３回レスなし、2/16にライセンス希望メール返信</t>
  </si>
  <si>
    <t>9/14TEL、契約書案メール送付</t>
  </si>
  <si>
    <t>済(8/30)</t>
  </si>
  <si>
    <t>〒359-0047
埼玉県所沢市花園3丁目2374-7</t>
  </si>
  <si>
    <t>医療法人社団大空会　花園整形外科内科
https://www.hanazonoseikeigekanaika.com/</t>
  </si>
  <si>
    <t>https://www.okabe-seikei.com/column/moyamoya.html</t>
  </si>
  <si>
    <t>2023/3/14山本さんへ</t>
  </si>
  <si>
    <t>済(2023/2/9)</t>
  </si>
  <si>
    <t>奥野先生の勉強会(エコー侍）より。QRフォーム入力あり
開業前郵送先
〒112-0002　東京都文京区小石川3−10−3　岡部　高弘様</t>
  </si>
  <si>
    <t>2023/3/13@表参道見学済み</t>
  </si>
  <si>
    <t>済12/20</t>
  </si>
  <si>
    <t>〒164-0012
東京都中野区本町6-13-8 新中野神谷ビル 3F</t>
  </si>
  <si>
    <t>新中野整形・リハビリテーションクリニック　
https://www.okabe-seikei.com/</t>
  </si>
  <si>
    <t>金額のみ</t>
  </si>
  <si>
    <t>2024/2/14西海</t>
  </si>
  <si>
    <t>82,500円</t>
  </si>
  <si>
    <t>✔2月</t>
  </si>
  <si>
    <t>2023/2/10請求書山本さんへ</t>
  </si>
  <si>
    <t>済（2023/2/6）</t>
  </si>
  <si>
    <t>オクノクリニックサイトからお問い合わせ(1/3)はじめまして。東京都日野市で手外科のクリニックを開業している平良貴志と申します。私は、手の慢性疼痛に対して、エコーを用いた関節内、腱鞘内注射やハイドロリリース、漢方薬をはじめとする薬物治療、ハンドセラピーやマッケンジー法によるリハビリテーションなどの保存治療を行い、それでも症状が改善しない場合は、関節形成や腱鞘切開などの手術治療を行っております。しかし、私の行っている治療では患者様の痛みを除去しきれないこともあり、大変困っておりました。以前から奥野先生のご講演を拝聴しており、もやもや血管には興味がございました。今回のエコー侍の講演にて、奥野先生の患者様に対する誠実なご対応に感銘を受けました。ぜひ、動注療法のライセンス契約をお願いするとともに、可能であれば見学にも伺わせていただきたく思っております。年の瀬のお忙しい中、大変申し訳ありませんが、よろしくお願いいたします</t>
  </si>
  <si>
    <t>2023/2/3表参道院見学済み</t>
  </si>
  <si>
    <t>済01/05</t>
  </si>
  <si>
    <t>〒191-0021
東京都日野市石田2-9-17</t>
  </si>
  <si>
    <t>医療法人社団ＭＤＴ平良 
たいら手の外科・整形外科　
https://taira-tenogeka.com/index.html</t>
  </si>
  <si>
    <t>済（2023/2/3）　</t>
  </si>
  <si>
    <t>セミナーで聞きましたとコメントあり。フォームに入力あり(1/11)</t>
  </si>
  <si>
    <t>2023/2/15奥野先生とzoom
2024/7/20＠心斎橋ご見学予定</t>
  </si>
  <si>
    <t>水曜・土曜
午後15時以降
心斎橋</t>
  </si>
  <si>
    <t>済2023/01/16</t>
  </si>
  <si>
    <t>〒558-0013
大阪府大阪市住吉区我孫子東2丁目4-29</t>
  </si>
  <si>
    <t>一斉メール送信済(2023/5/11)
→心斎橋PM見学希望のため次回見学案内から西海対応</t>
  </si>
  <si>
    <t>医療法人翔寿会　こんどう整形外科クリニック
https://www.kondo-seikei.jp/</t>
  </si>
  <si>
    <t>2024/3/1西海</t>
  </si>
  <si>
    <t>2023/3/6山本さんへ</t>
  </si>
  <si>
    <t>済(2023/2/27)</t>
  </si>
  <si>
    <t>和田誠先生ご紹介。中之島セミナーを拝見して申し込みました</t>
  </si>
  <si>
    <t>2023/7/6＠博多ご見学済み</t>
  </si>
  <si>
    <t>済2/6</t>
  </si>
  <si>
    <t>〒731-0221
広島県広島市安佐北区可部5丁目14-12</t>
  </si>
  <si>
    <t>医療法人陽会　かとう整形外科スポーツ運動器クリニック
https://kato-osc.jp/</t>
  </si>
  <si>
    <t>57,750円</t>
  </si>
  <si>
    <t>2023/12/5　
1箱　横浜へ返送</t>
  </si>
  <si>
    <t>2023/5/8 1箱
〒700-0017 岡山県岡山市北区伊島北町６−３
社会医療法人　鴻仁会　岡山中央病院 
薬剤科　科長　生田祐一　宛
TEL：086-252-3221</t>
  </si>
  <si>
    <t>済(2023/2/14)　</t>
  </si>
  <si>
    <t>本部に電話でお問い合わせあり。4月から常勤勤務になる小林ひろゆき先生のご希望で、事務のおおたわら様よりお電話。</t>
  </si>
  <si>
    <t>2023/2/7奥野先生とZoom</t>
  </si>
  <si>
    <t>〒700-0017
岡山県岡山市北区伊島北町6-3
地域連携企画室　大田原隆博様</t>
  </si>
  <si>
    <t>社会医療法人鴻仁会　岡山中央病院
https://www.kohjin.ne.jp/</t>
  </si>
  <si>
    <t>2023/2/22山本さんへ</t>
  </si>
  <si>
    <t>エコー侍での紹介。QRフォーム入力あり</t>
  </si>
  <si>
    <t>2023/11/3@博多ご見学</t>
  </si>
  <si>
    <t>2月大阪心斎橋の見学検討
博多土曜・もしくは心斎橋希望</t>
  </si>
  <si>
    <t>〒838-0068 
福岡県朝倉市甘木２０７２−１</t>
  </si>
  <si>
    <t>医療法人 おおしま整形外科
https://o-oc.com/doctor/</t>
  </si>
  <si>
    <t>2024/3/5西海</t>
  </si>
  <si>
    <t>済(2023/2/14)</t>
  </si>
  <si>
    <t>1/29の中之島WEB新春特別企画で、奥野先生の講演を拝聴しました。目から鱗でした。公演中に動注治療のライセンスに関するページのQRコードのご紹介があったのですが、同講演中に取得し損ないました。とても興味ありますので、教えていただければ幸いです。</t>
  </si>
  <si>
    <t>2023/3/29＠心斎橋見学済み</t>
  </si>
  <si>
    <t>〒662-0912 
兵庫県西宮市松原町3-3</t>
  </si>
  <si>
    <t>医療法人社団　あさい会　浅井診療所
https://asaikai.com/</t>
  </si>
  <si>
    <t>2024/2/22西海</t>
  </si>
  <si>
    <t>SMAPにて</t>
  </si>
  <si>
    <t>2023/2/7奥野先生とZoom
2023/2/21＠三宮見学済み</t>
  </si>
  <si>
    <t>済2/3</t>
  </si>
  <si>
    <t>〒762-0025
香川県坂出市川津町2730番地</t>
  </si>
  <si>
    <t>医療法人社団　永井整形外科医院
http://www.nagai-group.com/nagaiseikei/</t>
  </si>
  <si>
    <t>2023/2/16山本さんへ</t>
  </si>
  <si>
    <t>済（2023/2/6）　</t>
  </si>
  <si>
    <t>セミナーを拝見しました。木曜日の見学が希望です。宜しくお願い申し上げます。</t>
  </si>
  <si>
    <t>2023/3/16＠横浜見学済み</t>
  </si>
  <si>
    <t>〒251-0028
神奈川県藤沢市本鵠沼3-12-37-2F</t>
  </si>
  <si>
    <t>医療法人 仁優会　上林整形クリニック　
https://www.kami-seikei.com/</t>
  </si>
  <si>
    <t>https://nakano-seikei.jp/arterial_injection_therapy.html</t>
  </si>
  <si>
    <t>2023/2/15山本さんへ</t>
  </si>
  <si>
    <t>済(2023/2/9 )</t>
  </si>
  <si>
    <t>2023/2/17奥野先生とZoom
2023/3/16＠横浜見学済み</t>
  </si>
  <si>
    <t>〒251-0021
神奈川県藤沢市鵠沼神明5-14-15</t>
  </si>
  <si>
    <t>医療法人社団耀風会 仲野整形外科スポーツ・ウェルネスクリニック
https://nakano-seikei.jp/</t>
  </si>
  <si>
    <t>料金のみ</t>
  </si>
  <si>
    <t>178,750円</t>
  </si>
  <si>
    <t>2025/8/22　1箱横浜</t>
  </si>
  <si>
    <t>2023/2/9山本さんへ</t>
  </si>
  <si>
    <t>中之島WEBを見ました</t>
  </si>
  <si>
    <t>2022/2/7奥野先生とZoom
2023/3/29＠表参道見学済み</t>
  </si>
  <si>
    <t>〒190-0021
東京都立川市羽衣町2-49-7</t>
  </si>
  <si>
    <t>医療法人　舜成会　西国立整形外科クリニック
https://nishikunitachi-seikei.com/</t>
  </si>
  <si>
    <t>https://ueshima-seikei.com/treatment/treatment-145/</t>
  </si>
  <si>
    <t>済（2023/2/3）</t>
  </si>
  <si>
    <t>中之島運動器研究会</t>
  </si>
  <si>
    <t>〒929-0326
石川県河北郡津幡町清水ア25</t>
  </si>
  <si>
    <t>うえしま整形外科・運動器クリニック
https://ueshima-seikei.com/</t>
  </si>
  <si>
    <t>済（2024/5/16西海）</t>
  </si>
  <si>
    <t>2023/2/8山本さんへ</t>
  </si>
  <si>
    <t>はく整形外科運動器エコークリニック　分院</t>
  </si>
  <si>
    <t>2023/2/25＠表参道見学済み</t>
  </si>
  <si>
    <t>〒201-0012
東京都狛江市中和泉5-32-8 プリマヴェーラ1階
書類の郵送は本院住所、福西様宛</t>
  </si>
  <si>
    <t>2023.1.29中之島研究会</t>
  </si>
  <si>
    <t>〒201-0003
東京都狛江市和泉本町3-12-6
書類の郵送は本院住所、福西様宛</t>
  </si>
  <si>
    <t>医療法人社団ONETEAM　はく整形外科運動器エコークリニック（本院）
https://www.haku89.com/</t>
  </si>
  <si>
    <t>https://www.teito-mc.com/agingcare/#elementor-toc__heading-anchor-3</t>
  </si>
  <si>
    <t>なし9/16済</t>
  </si>
  <si>
    <t>2023/2/6山本さんへ</t>
  </si>
  <si>
    <t>支払わない</t>
  </si>
  <si>
    <t>済(2023/1/31)</t>
  </si>
  <si>
    <t>寺田哲先生からのご紹介。奥野先生宛てにメール(2022/12/8)</t>
  </si>
  <si>
    <t>2023/1/25＠横浜見学済み</t>
  </si>
  <si>
    <t>済12/13</t>
  </si>
  <si>
    <t>〒123-0843
東京都足立区西新井栄町2丁目3-3さくら参道ビル4階</t>
  </si>
  <si>
    <t>医療法人社団健将会　帝都メディカルクリニック　西新井駅前院
https://www.teito-mc.com/</t>
  </si>
  <si>
    <t>https://spr-cl.jp/%e7%89%b9%e6%ae%8a%e6%b2%bb%e7%99%82%e3%80%80%ef%bc%91</t>
  </si>
  <si>
    <t>2024/2/7西海</t>
  </si>
  <si>
    <t>✔1月</t>
  </si>
  <si>
    <t>2023/1/31請求書山本さんへ</t>
  </si>
  <si>
    <t>済（2023/1/20）</t>
  </si>
  <si>
    <t>オクノクリニックサイトからお問い合わせ(1/3)
ご無沙汰しております。東京都中央区にある
人形町整形ペイン・リハビリテーションクリニック院長の戸田繁です。突然の連絡失礼します。
以前、江戸川病院　岩本先生と白山院の開業挨拶に同行させてもらい臨床を見学させてもらいました。
2021年、小生のテニス肘カテーテル施術も表参道で直接やっていただきました。その際は、病態を詳しく説明いただき大変お世話になりました。非常に勉強になりました。その後、浅草病院で内視鏡手術となり現在はなんとか軽快しております。
三島総合病院の寺田先生とはNTT関東病院時代の同門で、先日webセミナーで「ライセンス契約」について知りました。以前より、寺田先生にも「動注療法」について相談していました。
痛みの先進的治療として、もし当院にも「動注療法」が導入できたら、今まで治療できなかった方にも喜んでもらえるのでは、と強く期待しております。
今度について、御指南いただけたらと思っております。何卒よろしくお願い申し上げます。</t>
  </si>
  <si>
    <t>済2023/01/05</t>
  </si>
  <si>
    <t>〒103-0012
東京都中央区日本橋堀留町 1-8-12 ホウライ堀留ビル3F</t>
  </si>
  <si>
    <t>人形町整形外科ペイン・リハビリクリニック
https://spr-cl.jp/</t>
  </si>
  <si>
    <t>https://lifeathlete.or.jp/%e5%8b%95%e8%84%88%e6%b3%a8%e5%b0%84%e6%b2%bb%e7%99%82%e6%b3%95/</t>
  </si>
  <si>
    <t>2024/2/6西海</t>
  </si>
  <si>
    <t>129,250円</t>
  </si>
  <si>
    <t>2023/1/26　
2023/1/31　追加分</t>
  </si>
  <si>
    <t>2023/1/26請求書山本さんへ</t>
  </si>
  <si>
    <t>日本整形外科超音波学会での講演と2022年12月18日のWEBセミナーを聴講して。平日診療があるため土曜日の午後しか見学に行けません。広島なので福岡など誓クリニックでも見学できるのでしょうか？</t>
  </si>
  <si>
    <t>2月以降大阪心斎橋か福岡の見学希望
土曜のみ
→一旦見学なしで（2023/6/13）</t>
  </si>
  <si>
    <t>〒739-1733
広島県広島市安佐北区口田南8-14-13</t>
  </si>
  <si>
    <t>医療法人社団ライフアスリート
高陽整形外科クリニック
https://lifeathlete.or.jp/</t>
  </si>
  <si>
    <t>2025/8/20依頼→返事なし</t>
  </si>
  <si>
    <t>帝京大学勤務。奥野先生よりチャットにてご連絡。</t>
  </si>
  <si>
    <t>2023/1/7＠表参道見学済み</t>
  </si>
  <si>
    <t>済12/21</t>
  </si>
  <si>
    <t>〒323-0826
栃木県小山市雨ヶ谷824-18
事務長　石橋義仁様</t>
  </si>
  <si>
    <t>医療法人健寿会　小山整形外科内科クリニック
https://www.oyamaseikeigekanaika.jp/</t>
  </si>
  <si>
    <t>https://www.sakugawa-clinic.com/price.php</t>
  </si>
  <si>
    <t>2024/1/5西海</t>
  </si>
  <si>
    <t>126,500円</t>
  </si>
  <si>
    <t>✔奥山</t>
  </si>
  <si>
    <t>不要</t>
  </si>
  <si>
    <t>不要の連絡あり</t>
  </si>
  <si>
    <t>2022/12/8郵送にて請求書発送済み</t>
  </si>
  <si>
    <t>発送日2023/1/20
返送日2023/1/31</t>
  </si>
  <si>
    <t>済(2022/12/1)</t>
  </si>
  <si>
    <t>以前オクノクリニックにご勤務していた</t>
  </si>
  <si>
    <t>済（奥山メール）</t>
  </si>
  <si>
    <t>〒901-2102 
沖縄県浦添市前田1丁目11番1号</t>
  </si>
  <si>
    <t>さくがわクリニック
https://www.sakugawa-clinic.com/</t>
  </si>
  <si>
    <t>https://www.tamegai-clinic.com/moyamoya.html</t>
  </si>
  <si>
    <t>2023/12/1西海</t>
  </si>
  <si>
    <t>✔11月</t>
  </si>
  <si>
    <t>チラシ50枚(1/6)</t>
  </si>
  <si>
    <t>A3とA4 (1/6)</t>
  </si>
  <si>
    <t>2022/12/26郵送済み</t>
  </si>
  <si>
    <t>2022/11/24請求書発行(山本さんへチャット）</t>
  </si>
  <si>
    <t>発送日2023/1/20
返送日2023/1/26</t>
  </si>
  <si>
    <t>済（11/18）</t>
  </si>
  <si>
    <t>フォームに入力あり(9/11)</t>
  </si>
  <si>
    <t>2022/11/10＠表参道見学済み</t>
  </si>
  <si>
    <t>9/14TELメール、見学希望で
日程を挙げてメール9/15　11/10木曜14時ご見学（契約前）</t>
  </si>
  <si>
    <t>済(9/12)</t>
  </si>
  <si>
    <t>〒270-0157　
千葉県流山市平和台4-5-43-2F</t>
  </si>
  <si>
    <t>医療法人診誠会ためがい整形外科クリニック
https://www.tamegai-clinic.com/</t>
  </si>
  <si>
    <t>https://yokoi-sports.clinic/%e5%86%8d%e7%94%9f%e5%8c%bb%e7%99%82%e3%83%bb%e8%87%aa%e8%b2%bb%e8%a8%ba%e7%99%82/%e5%8b%95%e8%84%88%e6%b3%a8%e5%b0%84%e7%99%82%e6%b3%95-2</t>
  </si>
  <si>
    <t>2023/10/26西海</t>
  </si>
  <si>
    <t>データで送付済み</t>
  </si>
  <si>
    <t>2022/12/26PDFで送付</t>
  </si>
  <si>
    <t>2022/11/8請求書発行（山本さんへチャット）</t>
  </si>
  <si>
    <t>済(11/2)　</t>
  </si>
  <si>
    <t>宮崎先生よりご紹介、院長秘書　山口里奈
yamaguchirina1007@gmail.com</t>
  </si>
  <si>
    <t>2022/11/01　Zoom</t>
  </si>
  <si>
    <t>10/21契約前zoom</t>
  </si>
  <si>
    <t>済（宮崎先生ご紹介）</t>
  </si>
  <si>
    <t>〒560-0005　
大阪府豊中市西緑丘1丁目1番31 Crice Nikko緑丘2F</t>
  </si>
  <si>
    <t>医療法人健裕会　よこい整形外科　健康スポーツクリニック
https://yokoi-sports.clinic/</t>
  </si>
  <si>
    <t>2023/10/23西海</t>
  </si>
  <si>
    <t>2023/10/24
→2024/2/8再送</t>
  </si>
  <si>
    <t>チラシ50枚(1/6)
チラシ100枚(1/31追加分)</t>
  </si>
  <si>
    <t>2023/1/12郵送済み</t>
  </si>
  <si>
    <t>2022/11/15請求書発行（山本さんへチャット）</t>
  </si>
  <si>
    <t>発送日2023/1/20</t>
  </si>
  <si>
    <t>休止希望</t>
  </si>
  <si>
    <t>済（10/26）</t>
  </si>
  <si>
    <t>契約書記載の住所：北海道函館市柳町７-１９　柳町レジデンス４０９
→契約住所変更:〒040-0044
北海道函館市青柳町１０ー３ロイヤルシティ２番館青柳４０７号室（2023/10/19）</t>
  </si>
  <si>
    <t>2022/9/3＠表参道見学済み</t>
  </si>
  <si>
    <t>9/9金11時～zoom説明、契約希望で調整中。
9/24リマインド</t>
  </si>
  <si>
    <t>山本さん表参道院でご挨拶済(9/3)</t>
  </si>
  <si>
    <t>〒041−0811
北海道函館市富岡町3−16−10　緑色の家
【2/8再送先住所】〒040-0044
北海道函館市青柳町10ｰ3ロイヤルシティ2番館青柳407号室</t>
  </si>
  <si>
    <t>https://okazaki-varix-pain.com/%e5%8b%95%e6%b3%a8%e6%b2%bb%e7%99%82</t>
  </si>
  <si>
    <t>2023/11/17西海</t>
  </si>
  <si>
    <t>10月分外注費と相殺</t>
  </si>
  <si>
    <t>A4(1/6)</t>
  </si>
  <si>
    <t>2022/12/27PDFで送付</t>
  </si>
  <si>
    <t>2022/11/8郵送にて請求書発送済み</t>
  </si>
  <si>
    <t>発送日2023/1/20
返送日2023/2/28</t>
  </si>
  <si>
    <t>奥山メール送付済み(9/9)</t>
  </si>
  <si>
    <t>〒444-0838　
愛知県岡崎市羽根西1丁目6-4</t>
  </si>
  <si>
    <t>おかざき足の血管外科・痛みのクリニック
https://okazaki-varix-pain.com/</t>
  </si>
  <si>
    <t>https://evt-cl.com/chiryo/arterial-injection/</t>
  </si>
  <si>
    <t>改善</t>
  </si>
  <si>
    <t>137,500円</t>
  </si>
  <si>
    <t>チラシ50枚(1/23)</t>
  </si>
  <si>
    <t>A3とA4(1/23)</t>
  </si>
  <si>
    <t>PDFデータ送信済み
(2023/1/23)</t>
  </si>
  <si>
    <t>2022/10/18郵送にて送付</t>
  </si>
  <si>
    <t>済(10/3)</t>
  </si>
  <si>
    <t>8/23TELにてご連絡あり、奥野先生確認の上、鴨井先生には契約書の内容を少し修正してお送りする(8/23)→8/30に修正版契約書メール済み
→鴨井先生からTEL数回あり、すべての質問に回答済み(9/13)</t>
  </si>
  <si>
    <t>奥山メール送付済(8/23)</t>
  </si>
  <si>
    <t>〒460-0005
愛知県名古屋市中区東桜2丁目22-18　日興ビルヂング1F-1号</t>
  </si>
  <si>
    <t>なごやEVTクリニック
https://evt-cl.com/</t>
  </si>
  <si>
    <t>YouTubeにあり</t>
  </si>
  <si>
    <t>✔10月</t>
  </si>
  <si>
    <t>2022/10/11請求書メール(山本さん)</t>
  </si>
  <si>
    <t>済(9/27)</t>
  </si>
  <si>
    <t>奥野先生直接お電話にてコミュニケーション取っており、9/22見学も白山でご案内したとのこと(8/6)</t>
  </si>
  <si>
    <t>2022/9/22＠白山見学済み</t>
  </si>
  <si>
    <t>済(8/5)</t>
  </si>
  <si>
    <t>〒573-0163 
大阪府枚方市長尾元町2丁目1-21</t>
  </si>
  <si>
    <t>医療法人社団誠幸会　わだ整形外科クリニック
http://wadaseikei.com/index.htm</t>
  </si>
  <si>
    <t>https://sawatari-cl.com/%E6%B2%BB%E7%99%82%E5%86%85%E5%AE%B9%E8%A9%B3%E7%B4%B0/#06</t>
  </si>
  <si>
    <t>発送日2023/1/20
返送日2023//2/2</t>
  </si>
  <si>
    <t>済(9/20)</t>
  </si>
  <si>
    <t>2022/10/4　Zoom</t>
  </si>
  <si>
    <t>9/11契約書案メール送付</t>
  </si>
  <si>
    <t>済(8/20）</t>
  </si>
  <si>
    <t>〒870-0265
大分県大分市竹下2丁目126番地</t>
  </si>
  <si>
    <t>医療法人 源算会 猿渡整形外科スポーツリハクリニック
https://sawatari-cl.com/</t>
  </si>
  <si>
    <t>HP記載なし</t>
  </si>
  <si>
    <t>✔9月</t>
  </si>
  <si>
    <t>Alivioにお支払い済み2023/3/8</t>
  </si>
  <si>
    <t>2022/10/14　1箱
2023/2/28　2箱</t>
  </si>
  <si>
    <t>2022/9/13山本さんからメール</t>
  </si>
  <si>
    <t>済(9/13)</t>
  </si>
  <si>
    <t>見学時までに詳細確認してご連絡しますとのこと(8/9)
9/3表参道院にてご見学、11月の導入に向けて準備中とのこと（9/5山本さん）
→契約希望のご連絡あり(9/12山本さん)→原本送付依頼あり(9/13山本さん）</t>
  </si>
  <si>
    <t>〒630-8441　
奈良県奈良市神殿町644-1</t>
  </si>
  <si>
    <t>医療法人社団　谷掛整形外科診療所
http://tanikake.com/</t>
  </si>
  <si>
    <t>https://keimotoseikei.com/arterial/</t>
  </si>
  <si>
    <t>チラシ200枚(1/6)</t>
  </si>
  <si>
    <t>送付済み</t>
  </si>
  <si>
    <t>済(8/29)</t>
  </si>
  <si>
    <t>オクノクリニックHPよりお問い合わせ(8/23)
山本さん契約書送付依頼(8/30)→発送完了(8/31)
契約先はどこになるか？いつから開始とするか？山本さんより確認中(9/5)
→開業予定のクリニック名義での契約で、契約書記載の日付(8/27)のままでOKとのこと(9/7)
開業前郵送先
〒558-0052 大阪府大阪市住吉区帝塚山西2-4-42 慶元　秀規様</t>
  </si>
  <si>
    <t>2022/09/28　Zoom
2022/11/16＠心斎橋見学済み</t>
  </si>
  <si>
    <t>済(8/24)</t>
  </si>
  <si>
    <t>〒546-0035
大阪府大阪市東住吉区山坂5丁目5-23</t>
  </si>
  <si>
    <t>慶元整形外科　リハビリ骨粗鬆症クリニック
https://keimotoseikei.com/</t>
  </si>
  <si>
    <t>https://kyourinkai-yagi.com/transcatheter-arterial-micro-embolization/</t>
  </si>
  <si>
    <t>2025/7/9メール→改善</t>
  </si>
  <si>
    <t>2023/10/31
契約について
対応中（10/26西海）</t>
  </si>
  <si>
    <t>2023/9/12西海</t>
  </si>
  <si>
    <t>71,500円</t>
  </si>
  <si>
    <t>チラシ50枚</t>
  </si>
  <si>
    <t>A3とA4</t>
  </si>
  <si>
    <t>2023/1/13　1箱
※横浜より発送</t>
  </si>
  <si>
    <t>2022/9/2請求書送付</t>
  </si>
  <si>
    <t>新契約書にて</t>
  </si>
  <si>
    <t>済(8/29) 　2025/5/22再送</t>
  </si>
  <si>
    <t>5/30更新メール送信、6/2、7/18、9/12、9/22とそれぞれメールするも返信がなく、松浦様架電済み。
用件すべてお伝えし一旦待ち（2023/10/26西海）
→リマインドメール済み（12/4西海）
→再リマインド（2024/1/16西海）
→再架電・リーガルチェック待ち（2/15西海）
→再度メール済（3/19西海）→架電し、メールにて変更希望点いただくことに（4/4西海）
→リマインドメール送信（4/17西海）→リマインドメール送信（5/13西海）→架電し、PDFデータ期限切れのため再度弁護士に送付依頼をしメールをくださることに。その際は電話もくださると仰せ（5/14西海）
→リマインドメール送信（6/3西海）
→2024/11～3年目更新の連絡も取れず（松本）
→2025/5/20松浦祐樹様より入電あり、3年目更新するので新しい契約書で対応、2年目更新料と3年目更新料についても了承いただき、郵送にて送る。今後は佐藤整形宛にすべて送ってほしいとのこと。（松本）</t>
  </si>
  <si>
    <t>2022/10/14　Zoom
2022/11/19＠表参道見学済み</t>
  </si>
  <si>
    <t>2022/08/24TEL
ご契約希望の回答</t>
  </si>
  <si>
    <t>済(8/5)　
常務理事の松浦様にも宛ててメール</t>
  </si>
  <si>
    <t>〒257-0035 
神奈川県秦野市本町1丁目3−1</t>
  </si>
  <si>
    <t>医療法人杏林会　八木病院
https://www.kyourinkai-yagi.com/</t>
  </si>
  <si>
    <t>https://yamaguchiseikei-sp.com/tame</t>
  </si>
  <si>
    <t>123,750円</t>
  </si>
  <si>
    <t>2022/8/31請求書送付</t>
  </si>
  <si>
    <t>2022/8/31済</t>
  </si>
  <si>
    <t>済(8/22)</t>
  </si>
  <si>
    <t>ライセンス希望の旨メールあり（8/19）</t>
  </si>
  <si>
    <t>2022/9/13　Zoom</t>
  </si>
  <si>
    <t>〒850-0013
長崎県長崎市中川町1-8-3</t>
  </si>
  <si>
    <t>医療法人　山口整形外科医院
https://yamaguchiseikei-sp.com/</t>
  </si>
  <si>
    <t>2023/8/15西海</t>
  </si>
  <si>
    <t>99,000円</t>
  </si>
  <si>
    <t>入荷確認→品薄で確保に苦労しているとのこと。(2023/9/13）</t>
  </si>
  <si>
    <t>2022/12/5　1箱
2022/12/8　1箱</t>
  </si>
  <si>
    <t>済(8/10)</t>
  </si>
  <si>
    <t>契約書送付後すぐに契約希望の旨ご連絡あり。原本発送済み。奥野先生直接お電話されているよう(8/9)</t>
  </si>
  <si>
    <t>2022/9/14 Zoom</t>
  </si>
  <si>
    <t>〒182-0033 
東京都調布市富士見町1丁目6−2 TAOビル 3F</t>
  </si>
  <si>
    <t>面谷　透
（おもだに　とおる）</t>
  </si>
  <si>
    <t>東京先進整形外科
https://www.tokyo-senshin.com/</t>
  </si>
  <si>
    <t>https://www.tsutsuiseikeigeka-clinic.com/blog/%E7%97%9B%E3%81%BF%E3%81%AE%E5%8E%9F%E5%9B%A0%E3%80%80%E3%82%82%E3%82%84%E3%82%82%E3%82%84%E8%A1%80%E7%AE%A1%E6%B2%BB%E7%99%82/?utm_source=chatgpt.com</t>
  </si>
  <si>
    <t>2022/12/26PDFで送付
郵送も希望</t>
  </si>
  <si>
    <t>契約書送付後すぐに契約希望の旨ご連絡あり。原本発送済み。</t>
  </si>
  <si>
    <t xml:space="preserve">
2022/09/12　Zoom
2022/10/22＠表参道見学済み</t>
  </si>
  <si>
    <t>〒751-0806 
山口県下関市一の宮町 3丁目11-3</t>
  </si>
  <si>
    <t>医療法人社団 筒井整形外科クリニック
https://www.tsutsuiseikeigeka-clinic.com/</t>
  </si>
  <si>
    <t>もやパト</t>
  </si>
  <si>
    <t>契約後個別面談</t>
  </si>
  <si>
    <t>症例検討会発表</t>
  </si>
  <si>
    <t>肩動注の仮認定</t>
  </si>
  <si>
    <t>契約後zoom面談</t>
  </si>
  <si>
    <t>HP掲載</t>
  </si>
  <si>
    <t>2年目ライセンス証書
※期限記載なし</t>
  </si>
  <si>
    <t>2年目契約料　入金日
（経理確認）</t>
  </si>
  <si>
    <t>支払い期日</t>
  </si>
  <si>
    <t>請求書発行メール</t>
  </si>
  <si>
    <t>2年目年間契約料＋
初年度実績による変動費用</t>
  </si>
  <si>
    <t>原本返送</t>
  </si>
  <si>
    <t>ライセンス契約書原本郵送
※三社間契約に変更</t>
  </si>
  <si>
    <t>初年度契約料 入金日
（経理確認）</t>
  </si>
  <si>
    <t>奧山確認</t>
  </si>
  <si>
    <t>改善説明資料</t>
  </si>
  <si>
    <t>へバーデン説明資料</t>
  </si>
  <si>
    <t>疾患別、チェックリストポスター</t>
  </si>
  <si>
    <t>へバーデンチラシ</t>
  </si>
  <si>
    <t>ポスター郵送</t>
  </si>
  <si>
    <t>初回ライセンス証書</t>
  </si>
  <si>
    <t>チエナム返却</t>
  </si>
  <si>
    <t>チエナム発送数（箱）</t>
  </si>
  <si>
    <t>5万円請求書
発行（メール）</t>
  </si>
  <si>
    <t>MAP</t>
  </si>
  <si>
    <t>ドライブURL送付</t>
  </si>
  <si>
    <t>開始確認
（返送から3週間経ったらメール）</t>
  </si>
  <si>
    <t>覚書発送日と返送日</t>
  </si>
  <si>
    <t>契約終了日</t>
  </si>
  <si>
    <t>3年目合意書返送</t>
  </si>
  <si>
    <t>ライセンス契約書原本郵送</t>
  </si>
  <si>
    <t>備考</t>
  </si>
  <si>
    <t>見学or Zoom面談</t>
  </si>
  <si>
    <t>秘密保持契約書送付</t>
  </si>
  <si>
    <t>見学希望</t>
  </si>
  <si>
    <t>要リマインド（山本さん）</t>
  </si>
  <si>
    <t>初回メール送付（山本さん）</t>
  </si>
  <si>
    <t>都道府県別</t>
  </si>
  <si>
    <t>引継ぎ状況</t>
  </si>
  <si>
    <t>ドクター名</t>
  </si>
  <si>
    <t>3年目</t>
  </si>
  <si>
    <t>https://docs.google.com/forms/d/1PE90ZpzQ2yPQY_jmd-wSk8Dew2nPntCjoTEFR6b5IPA/edit#response=ACYDBNjMmhqYP7hkPUzP1OXo_3DODa2XhwD5N_4R1jZDUdItLWdmpDtI_3tPYyV_K9RiYU8</t>
  </si>
  <si>
    <t>※レポート入力（回答）A列の番号を入れる</t>
  </si>
  <si>
    <t>フォーム回答者</t>
  </si>
  <si>
    <t>いい</t>
  </si>
  <si>
    <t xml:space="preserve">院長 </t>
    <phoneticPr fontId="1"/>
  </si>
  <si>
    <t>福西</t>
    <phoneticPr fontId="1"/>
  </si>
  <si>
    <t>成男</t>
    <phoneticPr fontId="1"/>
  </si>
  <si>
    <t>杉山</t>
    <phoneticPr fontId="1"/>
  </si>
  <si>
    <t>陽一</t>
    <phoneticPr fontId="1"/>
  </si>
  <si>
    <t>整形外科医長</t>
    <phoneticPr fontId="1"/>
  </si>
  <si>
    <t xml:space="preserve">碇 </t>
    <phoneticPr fontId="1"/>
  </si>
  <si>
    <t>吉本</t>
    <phoneticPr fontId="1"/>
  </si>
  <si>
    <t>隆昌</t>
  </si>
  <si>
    <t>中西</t>
    <phoneticPr fontId="1"/>
  </si>
  <si>
    <t>亮介</t>
    <phoneticPr fontId="1"/>
  </si>
  <si>
    <t>辻本</t>
    <phoneticPr fontId="1"/>
  </si>
  <si>
    <t>武尊</t>
    <phoneticPr fontId="1"/>
  </si>
  <si>
    <t>川崎</t>
    <rPh sb="0" eb="2">
      <t>カワサキ</t>
    </rPh>
    <phoneticPr fontId="1"/>
  </si>
  <si>
    <t>主税</t>
    <rPh sb="0" eb="2">
      <t>チカラ</t>
    </rPh>
    <phoneticPr fontId="1"/>
  </si>
  <si>
    <t>内藤</t>
    <phoneticPr fontId="1"/>
  </si>
  <si>
    <t>雅文</t>
    <phoneticPr fontId="1"/>
  </si>
  <si>
    <t>渡邉</t>
    <phoneticPr fontId="1"/>
  </si>
  <si>
    <t>院長 
渡邉 貞義</t>
    <phoneticPr fontId="1"/>
  </si>
  <si>
    <t>貞義</t>
  </si>
  <si>
    <t>恵一</t>
    <phoneticPr fontId="1"/>
  </si>
  <si>
    <t>木山</t>
    <phoneticPr fontId="1"/>
  </si>
  <si>
    <t>洋之</t>
    <phoneticPr fontId="1"/>
  </si>
  <si>
    <t>田中</t>
    <phoneticPr fontId="1"/>
  </si>
  <si>
    <t>健太</t>
    <phoneticPr fontId="1"/>
  </si>
  <si>
    <t>循環器内科　瀧井 暢　（たきい　わたる）</t>
    <phoneticPr fontId="1"/>
  </si>
  <si>
    <t>瀧井</t>
    <phoneticPr fontId="1"/>
  </si>
  <si>
    <t>暢</t>
    <phoneticPr fontId="1"/>
  </si>
  <si>
    <t>院長</t>
    <phoneticPr fontId="1"/>
  </si>
  <si>
    <t>土屋</t>
    <phoneticPr fontId="1"/>
  </si>
  <si>
    <t>誉</t>
  </si>
  <si>
    <t>古川</t>
    <phoneticPr fontId="1"/>
  </si>
  <si>
    <t>敬三</t>
    <phoneticPr fontId="1"/>
  </si>
  <si>
    <t>曜子</t>
    <phoneticPr fontId="1"/>
  </si>
  <si>
    <t>飯田</t>
    <phoneticPr fontId="1"/>
  </si>
  <si>
    <t xml:space="preserve">理事長 </t>
    <phoneticPr fontId="1"/>
  </si>
  <si>
    <t>荒川</t>
    <phoneticPr fontId="1"/>
  </si>
  <si>
    <t>中尾</t>
    <phoneticPr fontId="1"/>
  </si>
  <si>
    <t>謙太</t>
    <phoneticPr fontId="1"/>
  </si>
  <si>
    <t>姜　良勲（きょう　よしのり）</t>
    <phoneticPr fontId="1"/>
  </si>
  <si>
    <t>良勲</t>
  </si>
  <si>
    <t>尾本</t>
    <phoneticPr fontId="1"/>
  </si>
  <si>
    <t>遥</t>
    <phoneticPr fontId="1"/>
  </si>
  <si>
    <t>原</t>
    <phoneticPr fontId="1"/>
  </si>
  <si>
    <t>康治</t>
    <phoneticPr fontId="1"/>
  </si>
  <si>
    <t>福田</t>
    <phoneticPr fontId="1"/>
  </si>
  <si>
    <t>明伸</t>
    <phoneticPr fontId="1"/>
  </si>
  <si>
    <t>佐藤</t>
    <phoneticPr fontId="1"/>
  </si>
  <si>
    <t>孝典</t>
    <phoneticPr fontId="1"/>
  </si>
  <si>
    <t>木佐森</t>
    <phoneticPr fontId="1"/>
  </si>
  <si>
    <t>和樹</t>
    <phoneticPr fontId="1"/>
  </si>
  <si>
    <t>木佐森</t>
    <rPh sb="0" eb="3">
      <t>キサモリ</t>
    </rPh>
    <phoneticPr fontId="1"/>
  </si>
  <si>
    <t>絵里</t>
    <rPh sb="0" eb="2">
      <t>エリ</t>
    </rPh>
    <phoneticPr fontId="1"/>
  </si>
  <si>
    <t>前田</t>
    <phoneticPr fontId="1"/>
  </si>
  <si>
    <t>和彦</t>
    <phoneticPr fontId="1"/>
  </si>
  <si>
    <t>大成</t>
    <phoneticPr fontId="1"/>
  </si>
  <si>
    <t>健介</t>
    <phoneticPr fontId="1"/>
  </si>
  <si>
    <t>草山</t>
    <phoneticPr fontId="1"/>
  </si>
  <si>
    <t>喜洋</t>
    <phoneticPr fontId="1"/>
  </si>
  <si>
    <t>中村</t>
    <phoneticPr fontId="1"/>
  </si>
  <si>
    <t>公一</t>
    <phoneticPr fontId="1"/>
  </si>
  <si>
    <t>加藤</t>
    <phoneticPr fontId="1"/>
  </si>
  <si>
    <t>高英</t>
    <phoneticPr fontId="1"/>
  </si>
  <si>
    <t>富永</t>
    <phoneticPr fontId="1"/>
  </si>
  <si>
    <t>雅巳</t>
    <phoneticPr fontId="1"/>
  </si>
  <si>
    <t>武田</t>
    <phoneticPr fontId="1"/>
  </si>
  <si>
    <t>健</t>
    <phoneticPr fontId="1"/>
  </si>
  <si>
    <t>中山</t>
    <phoneticPr fontId="1"/>
  </si>
  <si>
    <t>潤一</t>
    <phoneticPr fontId="1"/>
  </si>
  <si>
    <t>仲井間</t>
    <phoneticPr fontId="1"/>
  </si>
  <si>
    <t>憲彦</t>
    <phoneticPr fontId="1"/>
  </si>
  <si>
    <t>石田</t>
    <phoneticPr fontId="1"/>
  </si>
  <si>
    <t>航</t>
    <phoneticPr fontId="1"/>
  </si>
  <si>
    <t>中島</t>
    <phoneticPr fontId="1"/>
  </si>
  <si>
    <t>一馬</t>
    <phoneticPr fontId="1"/>
  </si>
  <si>
    <t>谷口</t>
    <phoneticPr fontId="1"/>
  </si>
  <si>
    <t>真史</t>
    <phoneticPr fontId="1"/>
  </si>
  <si>
    <t>朋博</t>
    <phoneticPr fontId="1"/>
  </si>
  <si>
    <t>山中</t>
    <phoneticPr fontId="1"/>
  </si>
  <si>
    <t>力仁</t>
    <rPh sb="0" eb="1">
      <t>チカラ</t>
    </rPh>
    <rPh sb="1" eb="2">
      <t>ジン</t>
    </rPh>
    <phoneticPr fontId="1"/>
  </si>
  <si>
    <t>矢嶋</t>
    <phoneticPr fontId="1"/>
  </si>
  <si>
    <t>裕香</t>
    <phoneticPr fontId="1"/>
  </si>
  <si>
    <t>ドクター名</t>
    <rPh sb="4" eb="5">
      <t>メイ</t>
    </rPh>
    <phoneticPr fontId="1"/>
  </si>
  <si>
    <t>重光</t>
    <phoneticPr fontId="1"/>
  </si>
  <si>
    <t>橋本</t>
    <phoneticPr fontId="1"/>
  </si>
  <si>
    <t>三好</t>
    <phoneticPr fontId="1"/>
  </si>
  <si>
    <t>亮輔</t>
    <phoneticPr fontId="1"/>
  </si>
  <si>
    <t>宮井　</t>
    <phoneticPr fontId="1"/>
  </si>
  <si>
    <t>保尚</t>
  </si>
  <si>
    <t>八竹　</t>
    <phoneticPr fontId="1"/>
  </si>
  <si>
    <t>健司</t>
  </si>
  <si>
    <t>健一</t>
    <phoneticPr fontId="1"/>
  </si>
  <si>
    <t>錦野</t>
    <phoneticPr fontId="1"/>
  </si>
  <si>
    <t>匠一</t>
    <phoneticPr fontId="1"/>
  </si>
  <si>
    <t>石橋</t>
    <phoneticPr fontId="1"/>
  </si>
  <si>
    <t>馬谷</t>
    <phoneticPr fontId="1"/>
  </si>
  <si>
    <t>直樹</t>
    <phoneticPr fontId="1"/>
  </si>
  <si>
    <t xml:space="preserve">田村 </t>
    <phoneticPr fontId="1"/>
  </si>
  <si>
    <t>和弘</t>
  </si>
  <si>
    <t>西田</t>
    <phoneticPr fontId="1"/>
  </si>
  <si>
    <t>晴彦</t>
    <phoneticPr fontId="1"/>
  </si>
  <si>
    <t>菊池</t>
    <phoneticPr fontId="1"/>
  </si>
  <si>
    <t>恭太</t>
    <phoneticPr fontId="1"/>
  </si>
  <si>
    <t>今西</t>
    <phoneticPr fontId="1"/>
  </si>
  <si>
    <t>佑</t>
    <phoneticPr fontId="1"/>
  </si>
  <si>
    <t>理事長　</t>
    <phoneticPr fontId="1"/>
  </si>
  <si>
    <t>北城</t>
    <phoneticPr fontId="1"/>
  </si>
  <si>
    <t>雅照</t>
  </si>
  <si>
    <t>清水</t>
    <phoneticPr fontId="1"/>
  </si>
  <si>
    <t>安　</t>
    <phoneticPr fontId="1"/>
  </si>
  <si>
    <t>徳純</t>
  </si>
  <si>
    <t>井上</t>
    <phoneticPr fontId="1"/>
  </si>
  <si>
    <t>晃男</t>
  </si>
  <si>
    <t>放射線科診療部長</t>
    <phoneticPr fontId="1"/>
  </si>
  <si>
    <t>塩山</t>
    <phoneticPr fontId="1"/>
  </si>
  <si>
    <t>靖和</t>
  </si>
  <si>
    <t>大林</t>
    <phoneticPr fontId="1"/>
  </si>
  <si>
    <t>賢司</t>
    <phoneticPr fontId="1"/>
  </si>
  <si>
    <t>武人</t>
    <phoneticPr fontId="1"/>
  </si>
  <si>
    <t>西村</t>
    <phoneticPr fontId="1"/>
  </si>
  <si>
    <t>光滋</t>
    <phoneticPr fontId="1"/>
  </si>
  <si>
    <t>山川</t>
    <phoneticPr fontId="1"/>
  </si>
  <si>
    <t>智之</t>
    <phoneticPr fontId="1"/>
  </si>
  <si>
    <t>丸山</t>
    <phoneticPr fontId="1"/>
  </si>
  <si>
    <t>征爾</t>
    <phoneticPr fontId="1"/>
  </si>
  <si>
    <t>若山</t>
    <phoneticPr fontId="1"/>
  </si>
  <si>
    <t>大己</t>
    <phoneticPr fontId="1"/>
  </si>
  <si>
    <t>新門</t>
    <phoneticPr fontId="1"/>
  </si>
  <si>
    <t>裕三</t>
  </si>
  <si>
    <t>當房翠</t>
    <phoneticPr fontId="1"/>
  </si>
  <si>
    <t>當房</t>
    <phoneticPr fontId="1"/>
  </si>
  <si>
    <t>翠</t>
  </si>
  <si>
    <t>森田</t>
    <rPh sb="0" eb="2">
      <t>モリタ</t>
    </rPh>
    <phoneticPr fontId="1"/>
  </si>
  <si>
    <t>小野</t>
    <rPh sb="0" eb="2">
      <t>オノ</t>
    </rPh>
    <phoneticPr fontId="1"/>
  </si>
  <si>
    <t>真平</t>
    <phoneticPr fontId="1"/>
  </si>
  <si>
    <t>公平</t>
    <phoneticPr fontId="1"/>
  </si>
  <si>
    <t>非表示</t>
    <rPh sb="0" eb="3">
      <t>ヒヒョウジ</t>
    </rPh>
    <phoneticPr fontId="1"/>
  </si>
  <si>
    <t>住所</t>
    <rPh sb="0" eb="2">
      <t>ジュウショ</t>
    </rPh>
    <phoneticPr fontId="1"/>
  </si>
  <si>
    <t>下関市一の宮町 3丁目11-3</t>
  </si>
  <si>
    <t>調布市富士見町1丁目6−2 TAOビル 3F</t>
  </si>
  <si>
    <t>奈良市神殿町644-1</t>
  </si>
  <si>
    <t>枚方市長尾元町2丁目1-21</t>
  </si>
  <si>
    <t>岡崎市羽根西1丁目6-4</t>
  </si>
  <si>
    <t>流山市平和台4-5-43-2F</t>
  </si>
  <si>
    <t>浦添市前田1丁目11番1号</t>
  </si>
  <si>
    <t>藤沢市鵠沼神明5-14-15</t>
  </si>
  <si>
    <t>藤沢市本鵠沼3-12-37-2F</t>
  </si>
  <si>
    <t>西宮市松原町3-3</t>
  </si>
  <si>
    <t>朝倉市甘木２０７２−１</t>
  </si>
  <si>
    <t>和歌山市次郎丸167-2</t>
  </si>
  <si>
    <t>大府市江端町3-76</t>
  </si>
  <si>
    <t>金沢市元町2丁目20番23号</t>
  </si>
  <si>
    <t>流山市おおたかの森北3-2-17</t>
  </si>
  <si>
    <t>藤沢市鵠沼橘1-1-1 第2外岡ビル3階</t>
  </si>
  <si>
    <t>戸田市新曽1935-3 F.Azalea 1F</t>
  </si>
  <si>
    <t>川崎市高津区溝口1-5-2</t>
  </si>
  <si>
    <t>新潟市西区内野町53-5</t>
  </si>
  <si>
    <t>福岡市西区今宿東２丁目２３−番15</t>
  </si>
  <si>
    <t>福井市文京２丁目１−１５</t>
  </si>
  <si>
    <t>上田市下之郷乙346-7</t>
  </si>
  <si>
    <t>春日井市大手町４丁目７−１</t>
  </si>
  <si>
    <t>諫早市小野町３３２</t>
  </si>
  <si>
    <t>和歌山市秋月474-1</t>
  </si>
  <si>
    <t>横浜市中区曙町2-19-1 曙町新井ビル1F</t>
  </si>
  <si>
    <t>館山市長須賀309-1</t>
  </si>
  <si>
    <t>横浜市旭区鶴ケ峰２丁目２３−７ 松宮ビル</t>
  </si>
  <si>
    <t>福岡市博多区中洲5丁目2-3松居壹番館7階</t>
  </si>
  <si>
    <t>尼崎市御園町２２</t>
  </si>
  <si>
    <t>足柄上郡開成町みなみ4-5-7</t>
  </si>
  <si>
    <t>岩出市金池389-1</t>
  </si>
  <si>
    <t>横浜市中区尾上町3-21横浜国際ビル2階</t>
  </si>
  <si>
    <t>上益城郡益城町馬水８０５</t>
  </si>
  <si>
    <t>横浜市緑区長津田3−1−43</t>
  </si>
  <si>
    <t>横浜市西区久保町４３丁目１１</t>
  </si>
  <si>
    <t>横浜市南区井土ヶ谷中町158アクロスキューブ井土ヶ谷３階</t>
  </si>
  <si>
    <t>和歌山市小雑賀158</t>
  </si>
  <si>
    <t>和歌山市舟大工町12</t>
  </si>
  <si>
    <t>薩摩川内市中郷1-8-16</t>
  </si>
  <si>
    <t>横浜市金沢区福浦3-9</t>
  </si>
  <si>
    <t>長崎市中川町1-8-3</t>
  </si>
  <si>
    <t>秦野市本町1丁目3−1</t>
  </si>
  <si>
    <t>大阪市東住吉区山坂5丁目5-23</t>
  </si>
  <si>
    <t>大分市竹下2丁目126番地</t>
  </si>
  <si>
    <t>名古屋市中区東桜2丁目22-18　日興ビルヂング1F-1号</t>
  </si>
  <si>
    <t>広島市安佐北区口田南8-14-13</t>
  </si>
  <si>
    <t>中央区日本橋堀留町 1-8-12 ホウライ堀留ビル3F</t>
  </si>
  <si>
    <t>足立区西新井栄町2丁目3-3さくら参道ビル4階</t>
  </si>
  <si>
    <t>河北郡津幡町清水ア25</t>
  </si>
  <si>
    <t>立川市羽衣町2-49-7</t>
  </si>
  <si>
    <t>坂出市川津町2730番地</t>
  </si>
  <si>
    <t>広島市安佐北区可部5丁目14-12</t>
  </si>
  <si>
    <t>大阪市住吉区我孫子東2丁目4-29</t>
  </si>
  <si>
    <t>日野市石田2-9-17</t>
  </si>
  <si>
    <t>中野区本町6-13-8 新中野神谷ビル 3F</t>
  </si>
  <si>
    <t>所沢市花園3丁目2374-7</t>
  </si>
  <si>
    <t>稲城市平尾4-24−1</t>
  </si>
  <si>
    <t>島県出水市上知識町856</t>
  </si>
  <si>
    <t>豊田市曙町2丁目16番地 BULS16 103号</t>
  </si>
  <si>
    <t>日南市中央通2-3-5</t>
  </si>
  <si>
    <t>台東区三筋1-7-3 MDX浅草橋4F</t>
  </si>
  <si>
    <t>塩尻市広丘高出2199-2</t>
  </si>
  <si>
    <t>広島市東区戸坂大上4丁目29番13号</t>
  </si>
  <si>
    <t>日野市高幡1009-4</t>
  </si>
  <si>
    <t>大阪市北区梅田3-4-5毎日インテシオ2階</t>
  </si>
  <si>
    <t>岡崎市南明大寺町3番地10</t>
  </si>
  <si>
    <t>佐久市三塚191−36</t>
  </si>
  <si>
    <t>札幌市中央区南1条西14丁目291-81 ウィステリア南1条ビル3F</t>
  </si>
  <si>
    <t>札幌市豊平区平岸2条7丁目3-1アルファビルⅣ 3階</t>
  </si>
  <si>
    <t>津市野田33-3</t>
  </si>
  <si>
    <t>三島市広小路町9−16
クボタハイツ1階</t>
  </si>
  <si>
    <t>町田市忠生2丁目28-7
ロイヤルヒルズK1階</t>
  </si>
  <si>
    <t>静岡市清水区大坪2丁目6番1号</t>
  </si>
  <si>
    <t>狛江市東野川2-20-5エストヴィアン1F</t>
  </si>
  <si>
    <t>道札幌市中央区宮の森3条12丁目1-1 愛生舘ラボ</t>
  </si>
  <si>
    <t>名古屋市名東区平和が丘1丁目10番地</t>
  </si>
  <si>
    <t>朝来市山東町大垣61-2</t>
  </si>
  <si>
    <t>道札幌市中央区大通東4丁目1-19
大通東やまむらセンタービル</t>
  </si>
  <si>
    <t>焼津市小柳津210</t>
  </si>
  <si>
    <t>長崎市恵美須町4-1</t>
  </si>
  <si>
    <t>福岡市早良区西新4丁目9-35　真栄ビル3階</t>
  </si>
  <si>
    <t>山梨市上神内川1309</t>
  </si>
  <si>
    <t>仙台市宮城野区新田東1-9-1</t>
  </si>
  <si>
    <t>上野原市上野原3785-1</t>
  </si>
  <si>
    <t>島原市親和町丁3565-11</t>
  </si>
  <si>
    <t>大阪市福島区福島6-13-4</t>
  </si>
  <si>
    <t>阪府高槻市真上町1-3-28</t>
  </si>
  <si>
    <t>福井市日之出4-11-17</t>
  </si>
  <si>
    <t>岡山市中区倉田567-1</t>
  </si>
  <si>
    <t>松山市土居田町424-1</t>
  </si>
  <si>
    <t>本庄市早稲田の杜5丁目10-8</t>
  </si>
  <si>
    <t>杵築市杵築665番地655</t>
  </si>
  <si>
    <t>川県横浜市保土ヶ谷区西谷4-5-1</t>
  </si>
  <si>
    <t>名古屋市守山区守山2丁目18番22号</t>
  </si>
  <si>
    <t>玉県越谷市相模町3-139-1</t>
  </si>
  <si>
    <t>名古屋市昭和区御器所２−１−３４　STELLA305</t>
  </si>
  <si>
    <t>北葛城郡王寺町王寺2丁目6-4 クレール吉田3F</t>
  </si>
  <si>
    <t>八王子市中町5-1</t>
  </si>
  <si>
    <t xml:space="preserve">大阪市西区西本町１丁目４−１ オリックス本町ビル２階
</t>
  </si>
  <si>
    <t>神戸市垂水区舞多聞西５丁目１−３ノアすこやかプラザ舞多聞クリニックモール1F</t>
  </si>
  <si>
    <t>横浜市南区六ッ川1-81 FHCビル3階</t>
  </si>
  <si>
    <t>掛川市下俣69番地の17号</t>
  </si>
  <si>
    <t>北九州市戸畑区汐井町１番１号 戸畑駅２階</t>
  </si>
  <si>
    <t>黒川郡大和町しあわせの杜8番地の11</t>
  </si>
  <si>
    <t>新潟市中央区天神尾2-11-2</t>
  </si>
  <si>
    <t>新潟市東区山木戸８丁目９−３７</t>
  </si>
  <si>
    <t>太宰府市向佐野1-4-12</t>
  </si>
  <si>
    <t>大阪市淀川区三国本町3-7-16　三国本町クリニックビル3階</t>
  </si>
  <si>
    <t xml:space="preserve">水戸市平須町１８４０−１ 
</t>
  </si>
  <si>
    <t>静岡市葵区昭府２丁目１８－３８</t>
  </si>
  <si>
    <t>富士吉田市上吉田５丁目８−３</t>
  </si>
  <si>
    <t>江戸川区松本1-34-7 3F</t>
  </si>
  <si>
    <t>名古屋市中区松原二丁目17番5号</t>
  </si>
  <si>
    <t>津市半田２０６−１</t>
  </si>
  <si>
    <t>船橋市本中山6-10-1
CASASUMIKO 1階</t>
  </si>
  <si>
    <t xml:space="preserve">名古屋市東区白壁三丁目22番22号
</t>
  </si>
  <si>
    <t>目黒区祐天寺2-8-16祐天寺KITビル2階</t>
  </si>
  <si>
    <t>備前市伊部252-2</t>
  </si>
  <si>
    <t>明石市魚住町金ヶ崎370</t>
  </si>
  <si>
    <t>府中市白糸台2-5-5　　</t>
  </si>
  <si>
    <t>さいたま市大宮区上小町649</t>
  </si>
  <si>
    <t>魚沼市中原字大塚80-1</t>
  </si>
  <si>
    <t>広島市西区己斐本町2丁目12－27</t>
  </si>
  <si>
    <t>西宮市大浜町1-4</t>
  </si>
  <si>
    <t>戸川区中葛西5-41-16 フローラル中葛西V</t>
  </si>
  <si>
    <t>東郡清水町徳倉６１６−１</t>
  </si>
  <si>
    <t>福岡市南区柳河内2-10-50</t>
  </si>
  <si>
    <t xml:space="preserve"> 枚方市 伊加賀緑町３－１ 枚方大橋クリニックモール1階</t>
  </si>
  <si>
    <t>八王子市下恩方町1141-1</t>
  </si>
  <si>
    <t>文京区白山１丁目３３－１８　白山NTビル4階</t>
  </si>
  <si>
    <t>東大阪市若江西新町1-2-4瓜生堂クリニックビルSouth2階</t>
  </si>
  <si>
    <t>長岡市左近３丁目６２－１</t>
  </si>
  <si>
    <t>つくば市上ノ室1755-1</t>
  </si>
  <si>
    <t>仙台市宮城野区鶴ケ谷五丁目２２番１</t>
  </si>
  <si>
    <t>長崎市中園町22-10</t>
  </si>
  <si>
    <t>水戸市千波町478-3</t>
  </si>
  <si>
    <t>足利市小俣町520-1</t>
  </si>
  <si>
    <t>流山市西初石3-354-1</t>
  </si>
  <si>
    <t>大野城市大城2-1-32</t>
  </si>
  <si>
    <t>千歳市住吉4丁目2-3</t>
  </si>
  <si>
    <t>大阪市福島区海老江2丁目1-36</t>
  </si>
  <si>
    <t>久留米市太郎原町1344</t>
  </si>
  <si>
    <t>安城市法連町8－11</t>
  </si>
  <si>
    <t>熊本市東区戸島西3丁目1-39</t>
  </si>
  <si>
    <t>福岡市東区塩浜1-9-50</t>
  </si>
  <si>
    <t>大阪市住吉区長居西2-11-18　WELKAMTY長居西　２階</t>
  </si>
  <si>
    <t>杉並区永福3-34-11 3階</t>
  </si>
  <si>
    <t>大阪市北区
梅田1-13-1 大阪梅田ツインタワーズ・サウス13階</t>
  </si>
  <si>
    <t>横浜市戸塚区下倉田町1869-1-3F</t>
  </si>
  <si>
    <t>板橋区大山金井町35-2 ボンボニエール1階101号</t>
  </si>
  <si>
    <t>北九州市八幡西区筒井町15-1-2</t>
  </si>
  <si>
    <t>文京区春日1－16－30　講道館本館6階</t>
  </si>
  <si>
    <t>世田谷区北沢2‐8‐16</t>
  </si>
  <si>
    <t>茨木市総持寺1-3-2</t>
  </si>
  <si>
    <t>松本市清水1-9-28</t>
  </si>
  <si>
    <t>成田市囲護台2-5-8</t>
  </si>
  <si>
    <t>大田原市中田原１０８１－４</t>
  </si>
  <si>
    <t>福岡市南区高宮3-2-18エヌ高宮1階</t>
  </si>
  <si>
    <t>町田市能ヶ谷1-5-4ルーブル夏目301</t>
  </si>
  <si>
    <t>芦屋市船戸町3-19　1階</t>
  </si>
  <si>
    <t>尼崎市東園田町9-18-19</t>
  </si>
  <si>
    <t>杉並区和泉4-1-22パークホームズ杉並和泉ザ・レジデンスB1</t>
  </si>
  <si>
    <t>練馬区北町8-37-8 ベルソーナ北町102号</t>
  </si>
  <si>
    <t>久留米市諏訪野町2772-1</t>
  </si>
  <si>
    <t>さいたま市浦和区高砂４－２－４－１０１</t>
  </si>
  <si>
    <t xml:space="preserve">函館市富岡町3−16−10
</t>
    <phoneticPr fontId="1"/>
  </si>
  <si>
    <t>豊中市西緑丘1丁目1番31 Crice Nikko緑丘2F</t>
    <phoneticPr fontId="1"/>
  </si>
  <si>
    <t>小山市雨ヶ谷824-18　事務長　石橋義仁様</t>
    <phoneticPr fontId="1"/>
  </si>
  <si>
    <t>狛江市和泉本町3-12-6　</t>
    <phoneticPr fontId="1"/>
  </si>
  <si>
    <t>備考</t>
    <rPh sb="0" eb="2">
      <t>ビコウ</t>
    </rPh>
    <phoneticPr fontId="1"/>
  </si>
  <si>
    <t>040-0044
北海道函館市青柳町10ｰ3ロイヤルシティ2番館青柳407号室</t>
    <phoneticPr fontId="1"/>
  </si>
  <si>
    <t>狛江市中和泉5-32-8 プリマヴェーラ1階</t>
    <phoneticPr fontId="1"/>
  </si>
  <si>
    <t>書類の郵送は本院住所、福西様宛</t>
  </si>
  <si>
    <t>岡山市北区伊島北町6-3</t>
    <phoneticPr fontId="1"/>
  </si>
  <si>
    <t>地域連携企画室　大田原隆博様</t>
  </si>
  <si>
    <t>横須賀市衣笠栄町2-1-2　夢Qビル1F</t>
    <phoneticPr fontId="1"/>
  </si>
  <si>
    <t>鹿児島市住吉町12-16</t>
    <phoneticPr fontId="1"/>
  </si>
  <si>
    <t>事務長　丸山　早央里様</t>
  </si>
  <si>
    <t>世田谷区等々力4-13-1　</t>
    <phoneticPr fontId="1"/>
  </si>
  <si>
    <t>榎本様宛</t>
  </si>
  <si>
    <t>上田市常田2-15-16　</t>
    <phoneticPr fontId="1"/>
  </si>
  <si>
    <t>安田様宛</t>
  </si>
  <si>
    <t>岡崎市中町長狭間12-4</t>
    <phoneticPr fontId="1"/>
  </si>
  <si>
    <t>（柵木先生個人宅）</t>
  </si>
  <si>
    <t>印西市中央北1−１APOLLO PLANT MALL 2F</t>
    <phoneticPr fontId="1"/>
  </si>
  <si>
    <t>中野区鷺宮四丁目2番3号　協立ビル2階</t>
    <phoneticPr fontId="1"/>
  </si>
  <si>
    <t>豊中市曽根東町2丁目1番1号3階</t>
    <rPh sb="15" eb="16">
      <t>カイ</t>
    </rPh>
    <phoneticPr fontId="1"/>
  </si>
  <si>
    <t>目黒区大橋2-22-42 No.R池尻大橋4階</t>
    <phoneticPr fontId="1"/>
  </si>
  <si>
    <t>横浜市都筑区池辺町4556-18</t>
    <phoneticPr fontId="1"/>
  </si>
  <si>
    <t>（清水先生個人宅）</t>
  </si>
  <si>
    <t>大阪市天王寺区堀越町11-11 天王寺ガーデンスクエア2F</t>
    <phoneticPr fontId="1"/>
  </si>
  <si>
    <t>松山市千舟町4丁目4-6</t>
    <phoneticPr fontId="1"/>
  </si>
  <si>
    <t>ノルト　代表理事　渡邉順哉</t>
  </si>
  <si>
    <t>藤沢市鵠沼橘１－１－１第二外岡ビル４階</t>
    <phoneticPr fontId="1"/>
  </si>
  <si>
    <t>代表取締役　渡邉順哉</t>
  </si>
  <si>
    <t>大阪市北区浪花町１０番１４－２０１号</t>
    <phoneticPr fontId="1"/>
  </si>
  <si>
    <t>世田谷区松原１丁目３８−２５　　</t>
    <phoneticPr fontId="1"/>
  </si>
  <si>
    <t>請求書送付385-0061
長野県佐久市岩村田1109-4
kiuchi-yuki@ar-ex.jp医療法人アレックス
木内宛</t>
    <phoneticPr fontId="1"/>
  </si>
  <si>
    <t>目黒区平町１丁目２６−３ スミール都立大 2F</t>
    <phoneticPr fontId="1"/>
  </si>
  <si>
    <t>逗子市久木8－20－17</t>
    <rPh sb="0" eb="3">
      <t>ズシシ</t>
    </rPh>
    <phoneticPr fontId="1"/>
  </si>
  <si>
    <t>大阪市鶴見区鶴見3-5-12　尾本ビル3階</t>
    <rPh sb="0" eb="1">
      <t>ダイ</t>
    </rPh>
    <phoneticPr fontId="1"/>
  </si>
  <si>
    <t>鹿児島市中央町24-12 新福ビル1F-4F</t>
    <phoneticPr fontId="1"/>
  </si>
  <si>
    <t>横浜市南区南太田１丁目２３−１３ レジデンスヨコハマ南</t>
    <phoneticPr fontId="1"/>
  </si>
  <si>
    <t>長野市松岡二丁目41番28号</t>
    <phoneticPr fontId="1"/>
  </si>
  <si>
    <t>中野区江古田3丁目15-2</t>
    <rPh sb="0" eb="1">
      <t>ナカ</t>
    </rPh>
    <phoneticPr fontId="1"/>
  </si>
  <si>
    <t>札幌市西区二十四軒三条一丁目1番18号メディカルスクエア二十四軒1階</t>
    <rPh sb="0" eb="2">
      <t>サッポロ</t>
    </rPh>
    <rPh sb="2" eb="3">
      <t>シ</t>
    </rPh>
    <phoneticPr fontId="1"/>
  </si>
  <si>
    <t>北九州市八幡西区下上津役4-13-10</t>
    <rPh sb="0" eb="1">
      <t>キタ</t>
    </rPh>
    <phoneticPr fontId="1"/>
  </si>
  <si>
    <t>藤枝市青葉町2丁目1－47</t>
    <phoneticPr fontId="1"/>
  </si>
  <si>
    <t>八尾市北久宝寺1丁目1-7</t>
    <rPh sb="0" eb="1">
      <t>ハチ</t>
    </rPh>
    <phoneticPr fontId="1"/>
  </si>
  <si>
    <t>足立区足立1-12-12</t>
    <phoneticPr fontId="1"/>
  </si>
  <si>
    <t>世田谷区用賀4丁目9-12-3階</t>
    <phoneticPr fontId="1"/>
  </si>
  <si>
    <t>011-623-5001</t>
    <phoneticPr fontId="1"/>
  </si>
  <si>
    <t>092-512-1801</t>
    <phoneticPr fontId="1"/>
  </si>
  <si>
    <t>096-331-3210</t>
    <phoneticPr fontId="1"/>
  </si>
  <si>
    <t>028-723-1122</t>
    <phoneticPr fontId="1"/>
  </si>
  <si>
    <t>045-715-0202</t>
    <phoneticPr fontId="1"/>
  </si>
  <si>
    <t>045-319-4061</t>
    <phoneticPr fontId="1"/>
  </si>
  <si>
    <t>06-6730-8801</t>
    <phoneticPr fontId="1"/>
  </si>
  <si>
    <t>025-831-2080</t>
    <phoneticPr fontId="1"/>
  </si>
  <si>
    <t>0958-46-0022</t>
    <phoneticPr fontId="1"/>
  </si>
  <si>
    <t>029-241-2020</t>
    <phoneticPr fontId="1"/>
  </si>
  <si>
    <t>047-128-7405</t>
    <phoneticPr fontId="1"/>
  </si>
  <si>
    <t>0566-75-1177</t>
    <phoneticPr fontId="1"/>
  </si>
  <si>
    <t>医療法人社団　森海星
佐藤整形外科内科クリニック</t>
    <phoneticPr fontId="1"/>
  </si>
  <si>
    <t>医療法人社団正順会
イノルト整形外科 藤沢院 痛みと骨粗鬆症クリニック</t>
    <phoneticPr fontId="1"/>
  </si>
  <si>
    <t>医療法人社団ONETEAM　鷺宮はく整形外科　　</t>
    <phoneticPr fontId="1"/>
  </si>
  <si>
    <t>社会医療法人　加納岩 加納岩総合病院</t>
    <phoneticPr fontId="1"/>
  </si>
  <si>
    <t>医療法人東あおば整形外科  東あおば整形外科スポーツ・リハビリクリニック</t>
    <phoneticPr fontId="1"/>
  </si>
  <si>
    <t>医療法人 天地人 上野原梶谷整形外科</t>
    <phoneticPr fontId="1"/>
  </si>
  <si>
    <t>医療法人さわやか いでた整形外科クリニック</t>
    <phoneticPr fontId="1"/>
  </si>
  <si>
    <t>医療法人晴朗会 芥川きどクリニック</t>
    <phoneticPr fontId="1"/>
  </si>
  <si>
    <t>本町Ｎクリニック　　</t>
    <phoneticPr fontId="1"/>
  </si>
  <si>
    <t>医療法人　諒優会  鹿児島中央整形外科スポーツクリニック　　</t>
    <phoneticPr fontId="1"/>
  </si>
  <si>
    <t>医療法人ひかり中村整形外科皮フ科　</t>
    <phoneticPr fontId="1"/>
  </si>
  <si>
    <t>医療法人　弘和会 松田整形外科ペインクリニック　　</t>
    <phoneticPr fontId="1"/>
  </si>
  <si>
    <t>個人TEL備考</t>
    <rPh sb="0" eb="2">
      <t>コジン</t>
    </rPh>
    <rPh sb="5" eb="7">
      <t>ビコウ</t>
    </rPh>
    <phoneticPr fontId="1"/>
  </si>
  <si>
    <t>松浦佑樹様
松浦守基子様
090-3863-1345　</t>
    <phoneticPr fontId="1"/>
  </si>
  <si>
    <t>090-8238-3305</t>
    <phoneticPr fontId="1"/>
  </si>
  <si>
    <t>070-4699-5128</t>
    <phoneticPr fontId="1"/>
  </si>
  <si>
    <t>秘書　本塚様</t>
  </si>
  <si>
    <t>080-6539-8123</t>
    <phoneticPr fontId="1"/>
  </si>
  <si>
    <t>090-7041-8760</t>
    <phoneticPr fontId="1"/>
  </si>
  <si>
    <t>090-7439-7135</t>
    <phoneticPr fontId="1"/>
  </si>
  <si>
    <t>090-2866-5323</t>
    <phoneticPr fontId="1"/>
  </si>
  <si>
    <t>090-8811-7260</t>
    <phoneticPr fontId="1"/>
  </si>
  <si>
    <t>090-3432-8821</t>
    <phoneticPr fontId="1"/>
  </si>
  <si>
    <t>090-8933-0281</t>
    <phoneticPr fontId="1"/>
  </si>
  <si>
    <t>090-9781-5961</t>
    <phoneticPr fontId="1"/>
  </si>
  <si>
    <t>090-2819-8903</t>
    <phoneticPr fontId="1"/>
  </si>
  <si>
    <t>090-7279-7315</t>
    <phoneticPr fontId="1"/>
  </si>
  <si>
    <t>090-1911-8405</t>
    <phoneticPr fontId="1"/>
  </si>
  <si>
    <t>090-3217-5923</t>
    <phoneticPr fontId="1"/>
  </si>
  <si>
    <t>090-9450-7159</t>
    <phoneticPr fontId="1"/>
  </si>
  <si>
    <t>090-4991-0664</t>
    <phoneticPr fontId="1"/>
  </si>
  <si>
    <t>080-8476-2434</t>
    <phoneticPr fontId="1"/>
  </si>
  <si>
    <t>090-2256-8587</t>
    <phoneticPr fontId="1"/>
  </si>
  <si>
    <t>090-2617-0869</t>
    <phoneticPr fontId="1"/>
  </si>
  <si>
    <t>090-5292-4106</t>
    <phoneticPr fontId="1"/>
  </si>
  <si>
    <t>070-8445-5698</t>
    <phoneticPr fontId="1"/>
  </si>
  <si>
    <t>メールアドレス備考</t>
    <rPh sb="7" eb="9">
      <t>ビコウ</t>
    </rPh>
    <phoneticPr fontId="1"/>
  </si>
  <si>
    <t>ukukapr28@gmail.com</t>
    <phoneticPr fontId="1"/>
  </si>
  <si>
    <t>請求契約：松浦佑樹様
宮武先生　38kazuma@gmail.com　
松浦守基子様　s.o.terra.mater@gmail.com　
有馬先生　bonebreaker250@gmail.com　
都竹先生　t_shinya0315@yahoo.co.jp　</t>
    <phoneticPr fontId="1"/>
  </si>
  <si>
    <t>石橋様</t>
    <rPh sb="0" eb="3">
      <t>イシバシサマ</t>
    </rPh>
    <phoneticPr fontId="1"/>
  </si>
  <si>
    <t>y-ishibashi@oyamaseikeigekanaika.jp</t>
    <phoneticPr fontId="1"/>
  </si>
  <si>
    <t>imada-dr@lifeathlete.or.jp</t>
    <phoneticPr fontId="1"/>
  </si>
  <si>
    <t>koyosports62@gmail.com
minamitani.ns@gmail.com恐らくナース（南谷佐斗美）</t>
    <phoneticPr fontId="1"/>
  </si>
  <si>
    <t>katsuhaku@gmail.com</t>
    <phoneticPr fontId="1"/>
  </si>
  <si>
    <t>事業本部/福西佑介様 yusuke.fukunishi0925@gmail.com</t>
  </si>
  <si>
    <t>mottydec12cbr1000rr@yahoo.co.jp</t>
    <phoneticPr fontId="1"/>
  </si>
  <si>
    <t>ueshima1@yahoo.co.jp</t>
    <phoneticPr fontId="1"/>
  </si>
  <si>
    <t>ueshima1@gmail.com</t>
  </si>
  <si>
    <t>nishikuniseikei.2019@gmail.com</t>
    <phoneticPr fontId="1"/>
  </si>
  <si>
    <t>cheolsun.han.1229@gmail.com</t>
  </si>
  <si>
    <t>longnew2@me.com</t>
    <phoneticPr fontId="1"/>
  </si>
  <si>
    <t>longnew3@me.com
上垣内様　nagais@nagai-group.com</t>
    <phoneticPr fontId="1"/>
  </si>
  <si>
    <t>yurigaso-wada@docomo.ne.jp</t>
    <phoneticPr fontId="1"/>
  </si>
  <si>
    <t>wadaseikei@gmail.com
wadaseikei@ybb.ne.jp</t>
    <phoneticPr fontId="1"/>
  </si>
  <si>
    <t>tanikake61@yahoo.co.jp</t>
    <phoneticPr fontId="1"/>
  </si>
  <si>
    <t>nanatakunuts123@gmail.com</t>
  </si>
  <si>
    <t>naokun7010@mac.com</t>
    <phoneticPr fontId="1"/>
  </si>
  <si>
    <t>naokun7010@gmail.com</t>
  </si>
  <si>
    <t>coba1012@yahoo.co.jp</t>
    <phoneticPr fontId="1"/>
  </si>
  <si>
    <t>大田原様　otawara_t@kohjin.ne.jp</t>
  </si>
  <si>
    <t>takashitaira28@yahoo.co.jp</t>
    <phoneticPr fontId="1"/>
  </si>
  <si>
    <t>takashiokinawa@gmail.com</t>
  </si>
  <si>
    <t>事務森山貴弘　t.moriyama@sports-medical.net</t>
  </si>
  <si>
    <t>gumyojikyouyou@gmail.com事務鈴木香織</t>
  </si>
  <si>
    <t>yasuyoshi.mase@gmail.com</t>
    <phoneticPr fontId="1"/>
  </si>
  <si>
    <t>nmfpj361@gmail.com</t>
    <phoneticPr fontId="1"/>
  </si>
  <si>
    <t>yamadayuuko1969@gmail.com</t>
    <phoneticPr fontId="1"/>
  </si>
  <si>
    <t>kyohclinic.sec@gmail.com</t>
    <phoneticPr fontId="1"/>
  </si>
  <si>
    <t>松田知恵様</t>
    <phoneticPr fontId="1"/>
  </si>
  <si>
    <t>k-horimoto@cuc-jpn.com</t>
    <phoneticPr fontId="1"/>
  </si>
  <si>
    <t>市瀬彦聡先生　h-ichinose@keimeikai.or.jp</t>
    <phoneticPr fontId="1"/>
  </si>
  <si>
    <t>massa.tokaisoccer0318@gmail.com</t>
    <phoneticPr fontId="1"/>
  </si>
  <si>
    <t>iwtbagdtk@gmail.com</t>
    <phoneticPr fontId="1"/>
  </si>
  <si>
    <t>y.miyai@shinseinokai.or.jp</t>
  </si>
  <si>
    <t>matsudaorthopain16@gmail.com</t>
    <phoneticPr fontId="1"/>
  </si>
  <si>
    <t>toramatsuda@gmail.com</t>
  </si>
  <si>
    <t>t08narita01@dream.com</t>
    <phoneticPr fontId="1"/>
  </si>
  <si>
    <t>竹内様　t.hiroki.arex@gmail.com</t>
    <rPh sb="2" eb="3">
      <t>サマ</t>
    </rPh>
    <phoneticPr fontId="1"/>
  </si>
  <si>
    <t>三浦様　miura.syuhei.arex@gmail.com</t>
    <rPh sb="2" eb="3">
      <t>サマ</t>
    </rPh>
    <phoneticPr fontId="1"/>
  </si>
  <si>
    <t>kazuki.morizane@gmail.com</t>
    <phoneticPr fontId="1"/>
  </si>
  <si>
    <t>morizane@kazuclinic-ehime.com</t>
  </si>
  <si>
    <t>saki.motozuka.1991@gmail.com</t>
    <phoneticPr fontId="1"/>
  </si>
  <si>
    <t>sagital67ge@gmail.com</t>
    <phoneticPr fontId="1"/>
  </si>
  <si>
    <t>院長　坂井秀章先生　sakai4199@gmail.com</t>
    <phoneticPr fontId="1"/>
  </si>
  <si>
    <t>秀章</t>
  </si>
  <si>
    <t>nobu4199@gmail.com</t>
    <phoneticPr fontId="1"/>
  </si>
  <si>
    <t>cardioversionist@gmail.com</t>
    <phoneticPr fontId="1"/>
  </si>
  <si>
    <t>事務/平岩様 konoka.hi@horm.co.jp　請求書は山本先生とoffice@horm.co.jp</t>
  </si>
  <si>
    <t>yoko.shimizu12@gmail.com</t>
    <phoneticPr fontId="1"/>
  </si>
  <si>
    <t>副院長　清水宏泰先生　shimihiro829@yahoo.co.jp</t>
  </si>
  <si>
    <t>s.u50291201@icloud.com</t>
    <phoneticPr fontId="1"/>
  </si>
  <si>
    <t>dsda106874@gmail.com</t>
  </si>
  <si>
    <t>takanori.k.1882@gmail.com</t>
    <phoneticPr fontId="1"/>
  </si>
  <si>
    <t>経理 木内由紀様　kiuchi-yuki@ar-ex.jp</t>
  </si>
  <si>
    <t>yoshiya3721@abox3.so-net.ne.jp</t>
    <phoneticPr fontId="1"/>
  </si>
  <si>
    <t>yanaseyoshizou943@gmail.com</t>
  </si>
  <si>
    <t>kaz.mur26@gmail.com</t>
    <phoneticPr fontId="1"/>
  </si>
  <si>
    <t>事務長　村田様
smurata.sasajimaseikei@gmail.com</t>
    <phoneticPr fontId="1"/>
  </si>
  <si>
    <t>fumiki.kamoi@kamoiclinic.org</t>
    <phoneticPr fontId="1"/>
  </si>
  <si>
    <t>鴨居先生gmail
fumikikamoi@gmail.com</t>
    <phoneticPr fontId="1"/>
  </si>
  <si>
    <t>yygaziduh@yahoo.co.jp</t>
    <phoneticPr fontId="1"/>
  </si>
  <si>
    <t>松浦佑樹様　ukukapr28@gmail.com</t>
  </si>
  <si>
    <t>administrator@inagihirao-seikei.clinic</t>
    <phoneticPr fontId="1"/>
  </si>
  <si>
    <t>大野先生gmail　kurinon264@gmail.com</t>
  </si>
  <si>
    <t>a_samura@yahoo.co.jp</t>
    <phoneticPr fontId="1"/>
  </si>
  <si>
    <t>kaigo.hanazono@gmail.com</t>
  </si>
  <si>
    <t>院長 福西 成男</t>
    <phoneticPr fontId="1"/>
  </si>
  <si>
    <t>登録メールアドレス</t>
    <rPh sb="0" eb="2">
      <t>トウロク</t>
    </rPh>
    <phoneticPr fontId="1"/>
  </si>
  <si>
    <t>041-0811</t>
    <phoneticPr fontId="1"/>
  </si>
  <si>
    <t>060-0061</t>
    <phoneticPr fontId="1"/>
  </si>
  <si>
    <t>062-0932</t>
    <phoneticPr fontId="1"/>
  </si>
  <si>
    <t>064-0953</t>
    <phoneticPr fontId="1"/>
  </si>
  <si>
    <t>060-0041</t>
    <phoneticPr fontId="1"/>
  </si>
  <si>
    <t>063-0803</t>
    <phoneticPr fontId="1"/>
  </si>
  <si>
    <t>066-0026</t>
    <phoneticPr fontId="1"/>
  </si>
  <si>
    <t>251-0024</t>
    <phoneticPr fontId="1"/>
  </si>
  <si>
    <t>530-0022</t>
    <phoneticPr fontId="1"/>
  </si>
  <si>
    <t>156-0043</t>
    <phoneticPr fontId="1"/>
  </si>
  <si>
    <t>152-0032</t>
    <phoneticPr fontId="1"/>
  </si>
  <si>
    <t>248-0017</t>
    <phoneticPr fontId="1"/>
  </si>
  <si>
    <t>232-0006</t>
    <phoneticPr fontId="1"/>
  </si>
  <si>
    <t>事務手続き担当者　備考</t>
    <rPh sb="0" eb="4">
      <t>ジムテツヅ</t>
    </rPh>
    <rPh sb="5" eb="8">
      <t>タントウシャ</t>
    </rPh>
    <rPh sb="9" eb="11">
      <t>ビコウ</t>
    </rPh>
    <phoneticPr fontId="1"/>
  </si>
  <si>
    <t>miyata_s_k@yahoo.co.jp　</t>
    <phoneticPr fontId="1"/>
  </si>
  <si>
    <t>daiseikei24@gmail.com</t>
    <phoneticPr fontId="1"/>
  </si>
  <si>
    <t>ayuponmatsu1980@gmail.com</t>
  </si>
  <si>
    <t>sorakira926@icloud.com</t>
    <phoneticPr fontId="1"/>
  </si>
  <si>
    <t>urahasi.clinic@gmail.com</t>
  </si>
  <si>
    <t xml:space="preserve">hkenh@coral.ocn.ne.jp </t>
    <phoneticPr fontId="1"/>
  </si>
  <si>
    <t>naomishunh@yahoo.co.jp</t>
  </si>
  <si>
    <t xml:space="preserve">n.shoichi0518@gmail.com </t>
    <phoneticPr fontId="1"/>
  </si>
  <si>
    <t>jimu@nishikino.net</t>
  </si>
  <si>
    <t>yuwakai0210@gmail.com</t>
    <phoneticPr fontId="1"/>
  </si>
  <si>
    <t>ahorie@shimokitazawa-hp.or.jp</t>
    <phoneticPr fontId="1"/>
  </si>
  <si>
    <t>（菊池恭太　kyota.k.doc@outlook.com)</t>
  </si>
  <si>
    <t>大変恐れ入りますが、手数料は貴院にてご負担いただけますようお願い申し上げます。</t>
  </si>
  <si>
    <t>お振込みの際、ご契約のクリニック名の明記をお願いいたします。</t>
  </si>
  <si>
    <t>ご請求額（合計）</t>
  </si>
  <si>
    <t>消費税（10％）</t>
  </si>
  <si>
    <t>小計</t>
  </si>
  <si>
    <t>動注治療ライセンス 年間契約費</t>
  </si>
  <si>
    <t>金額</t>
  </si>
  <si>
    <t>数量</t>
  </si>
  <si>
    <t>請求内容</t>
  </si>
  <si>
    <t>ｶ)ｱﾘﾋﾞｵ ｼﾞｬﾊﾟﾝ　株式会社Alivio JAPAN</t>
  </si>
  <si>
    <t>普通口座　4692356</t>
  </si>
  <si>
    <t>ご請求額(税込)</t>
  </si>
  <si>
    <t>みずほ銀行　芝支店（054）</t>
  </si>
  <si>
    <t>お振込先</t>
  </si>
  <si>
    <t>お支払い期限</t>
  </si>
  <si>
    <t>登録番号 T6010401142343</t>
  </si>
  <si>
    <t>Daiwa麻布テラス5階</t>
  </si>
  <si>
    <t>東京都港区南麻布3-20-1</t>
  </si>
  <si>
    <t>株式会社Alivio JAPAN</t>
  </si>
  <si>
    <t>請求書送付先</t>
  </si>
  <si>
    <t>御請求書</t>
  </si>
  <si>
    <t>請求書発行日：</t>
  </si>
  <si>
    <t>請求書番号：</t>
  </si>
  <si>
    <t>御中</t>
    <phoneticPr fontId="1"/>
  </si>
  <si>
    <t>●年●月●日</t>
    <rPh sb="1" eb="2">
      <t>ネン</t>
    </rPh>
    <rPh sb="3" eb="4">
      <t>ガツ</t>
    </rPh>
    <rPh sb="5" eb="6">
      <t>ニチ</t>
    </rPh>
    <phoneticPr fontId="1"/>
  </si>
  <si>
    <t>●●●●</t>
    <phoneticPr fontId="1"/>
  </si>
  <si>
    <t>●●年●●月●●日</t>
    <rPh sb="2" eb="3">
      <t>ネン</t>
    </rPh>
    <rPh sb="5" eb="6">
      <t>ガツ</t>
    </rPh>
    <rPh sb="8" eb="9">
      <t>ニチ</t>
    </rPh>
    <phoneticPr fontId="1"/>
  </si>
  <si>
    <t>●●年●●月●●日～　1年間</t>
    <rPh sb="2" eb="3">
      <t>ネン</t>
    </rPh>
    <rPh sb="5" eb="6">
      <t>ガツ</t>
    </rPh>
    <rPh sb="8" eb="9">
      <t>ニチ</t>
    </rPh>
    <rPh sb="12" eb="14">
      <t>ネンカン</t>
    </rPh>
    <phoneticPr fontId="1"/>
  </si>
  <si>
    <t>理由不明</t>
    <rPh sb="0" eb="2">
      <t>リユウ</t>
    </rPh>
    <rPh sb="2" eb="4">
      <t>フメイ</t>
    </rPh>
    <phoneticPr fontId="1"/>
  </si>
  <si>
    <t>清水勇樹先生の元所属先</t>
    <rPh sb="0" eb="4">
      <t>シミズユウキ</t>
    </rPh>
    <rPh sb="4" eb="6">
      <t>センセイ</t>
    </rPh>
    <rPh sb="7" eb="8">
      <t>モト</t>
    </rPh>
    <rPh sb="8" eb="11">
      <t>ショゾクサキ</t>
    </rPh>
    <phoneticPr fontId="1"/>
  </si>
  <si>
    <t>合意書同意いただけず更新拒絶通知送った</t>
    <rPh sb="0" eb="3">
      <t>ゴウイショ</t>
    </rPh>
    <rPh sb="3" eb="5">
      <t>ドウイ</t>
    </rPh>
    <rPh sb="10" eb="14">
      <t>コウシンキョゼツ</t>
    </rPh>
    <rPh sb="14" eb="16">
      <t>ツウチ</t>
    </rPh>
    <rPh sb="16" eb="17">
      <t>オク</t>
    </rPh>
    <phoneticPr fontId="1"/>
  </si>
  <si>
    <t>柵木　晃先生の元所属先</t>
    <rPh sb="4" eb="6">
      <t>センセイ</t>
    </rPh>
    <rPh sb="7" eb="11">
      <t>モトショゾクサキ</t>
    </rPh>
    <phoneticPr fontId="1"/>
  </si>
  <si>
    <t>西村　光滋先生の元所属先</t>
    <rPh sb="1" eb="2">
      <t>ムラ</t>
    </rPh>
    <rPh sb="5" eb="7">
      <t>センセイ</t>
    </rPh>
    <rPh sb="8" eb="12">
      <t>モトショゾクサキ</t>
    </rPh>
    <phoneticPr fontId="1"/>
  </si>
  <si>
    <t>動注実施医師退職のため</t>
    <rPh sb="0" eb="2">
      <t>ドウチュウ</t>
    </rPh>
    <rPh sb="2" eb="6">
      <t>ジッシイシ</t>
    </rPh>
    <rPh sb="6" eb="8">
      <t>タイショク</t>
    </rPh>
    <phoneticPr fontId="1"/>
  </si>
  <si>
    <t xml:space="preserve">理事長
</t>
    <phoneticPr fontId="1"/>
  </si>
  <si>
    <t>山村</t>
    <phoneticPr fontId="1"/>
  </si>
  <si>
    <t>俊昭</t>
  </si>
  <si>
    <t>院長　大坪　英則</t>
    <phoneticPr fontId="1"/>
  </si>
  <si>
    <t>クリニックで契約し直し</t>
    <rPh sb="6" eb="8">
      <t>ケイヤク</t>
    </rPh>
    <rPh sb="9" eb="10">
      <t>ナオ</t>
    </rPh>
    <phoneticPr fontId="1"/>
  </si>
  <si>
    <t>町田で契約駆使直し</t>
    <rPh sb="0" eb="2">
      <t>マチダ</t>
    </rPh>
    <rPh sb="3" eb="8">
      <t>ケイヤククシナオ</t>
    </rPh>
    <phoneticPr fontId="1"/>
  </si>
  <si>
    <t>大学病院のため支払いなし</t>
    <rPh sb="0" eb="4">
      <t>ダイガクビョウイン</t>
    </rPh>
    <rPh sb="7" eb="9">
      <t>シハラ</t>
    </rPh>
    <phoneticPr fontId="1"/>
  </si>
  <si>
    <t>奥野先生お知り合い支払いなし</t>
    <rPh sb="0" eb="4">
      <t>オクノセンセイ</t>
    </rPh>
    <rPh sb="5" eb="6">
      <t>シ</t>
    </rPh>
    <rPh sb="7" eb="8">
      <t>ア</t>
    </rPh>
    <rPh sb="9" eb="11">
      <t>シハラ</t>
    </rPh>
    <phoneticPr fontId="1"/>
  </si>
  <si>
    <t>松田整形外科ペインクリニックで契約し直し</t>
    <rPh sb="15" eb="17">
      <t>ケイヤク</t>
    </rPh>
    <rPh sb="18" eb="19">
      <t>ナオ</t>
    </rPh>
    <phoneticPr fontId="1"/>
  </si>
  <si>
    <t>直哉</t>
    <phoneticPr fontId="1"/>
  </si>
  <si>
    <t>森</t>
    <phoneticPr fontId="1"/>
  </si>
  <si>
    <t>基</t>
    <phoneticPr fontId="1"/>
  </si>
  <si>
    <t>高史</t>
    <phoneticPr fontId="1"/>
  </si>
  <si>
    <t>糸川</t>
    <phoneticPr fontId="1"/>
  </si>
  <si>
    <t>浩司</t>
    <phoneticPr fontId="1"/>
  </si>
  <si>
    <t>医療法人社団ONETEAM　はく整形外科運動器エコークリニック（本院）</t>
    <phoneticPr fontId="1"/>
  </si>
  <si>
    <r>
      <t>医療法人社団ONETEAM　狛江はく整形外科（分院）</t>
    </r>
    <r>
      <rPr>
        <sz val="9"/>
        <color rgb="FFFF0000"/>
        <rFont val="Meiryo UI"/>
        <family val="3"/>
        <charset val="128"/>
      </rPr>
      <t>→こちらは解約して別分院「狛江駅前はく整形外科」で契約したい（2026/5連絡あり）</t>
    </r>
    <rPh sb="31" eb="33">
      <t>カイヤク</t>
    </rPh>
    <rPh sb="35" eb="38">
      <t>ベツブンイン</t>
    </rPh>
    <rPh sb="39" eb="43">
      <t>コマエエキマエ</t>
    </rPh>
    <rPh sb="45" eb="49">
      <t>セイケイゲカ</t>
    </rPh>
    <rPh sb="51" eb="53">
      <t>ケイヤク</t>
    </rPh>
    <rPh sb="63" eb="65">
      <t>レンラク</t>
    </rPh>
    <phoneticPr fontId="1"/>
  </si>
  <si>
    <t>理事長</t>
    <rPh sb="0" eb="3">
      <t>リジチョウ</t>
    </rPh>
    <phoneticPr fontId="1"/>
  </si>
  <si>
    <t>個人契約（往診医のため個人でOK）</t>
    <rPh sb="0" eb="2">
      <t>コジン</t>
    </rPh>
    <rPh sb="2" eb="4">
      <t>ケイヤク</t>
    </rPh>
    <phoneticPr fontId="1"/>
  </si>
  <si>
    <t>個人契約</t>
    <rPh sb="0" eb="4">
      <t>コジンケイヤク</t>
    </rPh>
    <phoneticPr fontId="1"/>
  </si>
  <si>
    <t>個人契約</t>
    <rPh sb="2" eb="4">
      <t>ケイヤク</t>
    </rPh>
    <phoneticPr fontId="1"/>
  </si>
  <si>
    <t>個人契約</t>
    <rPh sb="0" eb="2">
      <t>コジン</t>
    </rPh>
    <rPh sb="2" eb="4">
      <t>ケイヤク</t>
    </rPh>
    <phoneticPr fontId="1"/>
  </si>
  <si>
    <t>ステータス</t>
    <phoneticPr fontId="1"/>
  </si>
  <si>
    <t>医療法人　弘和会　松田整形外科医院　　</t>
    <phoneticPr fontId="1"/>
  </si>
  <si>
    <t>准教授</t>
    <rPh sb="0" eb="3">
      <t>ジュンキョウジュ</t>
    </rPh>
    <phoneticPr fontId="1"/>
  </si>
  <si>
    <t>日本医科大学付属病院</t>
    <rPh sb="0" eb="6">
      <t>ニホンイカダイガク</t>
    </rPh>
    <rPh sb="6" eb="8">
      <t>フゾク</t>
    </rPh>
    <rPh sb="8" eb="10">
      <t>ビョウイン</t>
    </rPh>
    <phoneticPr fontId="1"/>
  </si>
  <si>
    <t>東京都</t>
    <phoneticPr fontId="1"/>
  </si>
  <si>
    <t>文京区千駄木1-1-5</t>
    <rPh sb="0" eb="6">
      <t>ブンキョウクセンダギ</t>
    </rPh>
    <phoneticPr fontId="1"/>
  </si>
  <si>
    <t xml:space="preserve"> 03-3822-2131</t>
    <phoneticPr fontId="1"/>
  </si>
  <si>
    <t>https://www.nms.ac.jp/hosp.html</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</si>
</sst>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
    <numFmt numFmtId="177" formatCode="[&lt;=999]000;[&lt;=9999]000\-00;000\-0000"/>
    <numFmt numFmtId="178" formatCode="yyyy/mm/dd"/>
    <numFmt numFmtId="179" formatCode="#,##0&quot;円&quot;"/>
  </numFmts>
  <fonts count="24">
    <font>
      <sz val="9"/>
      <color theme="1"/>
      <name val="Meiryo UI"/>
      <family val="2"/>
      <charset val="128"/>
    </font>
    <font>
      <sz val="6"/>
      <name val="Meiryo UI"/>
      <family val="2"/>
      <charset val="128"/>
    </font>
    <font>
      <u/>
      <sz val="9"/>
      <color theme="10"/>
      <name val="Meiryo UI"/>
      <family val="2"/>
      <charset val="128"/>
    </font>
    <font>
      <sz val="10"/>
      <color rgb="FF000000"/>
      <name val="游ゴシック"/>
      <family val="2"/>
      <scheme val="minor"/>
    </font>
    <font>
      <sz val="10"/>
      <color theme="1"/>
      <name val="HiraMinProN-W3"/>
    </font>
    <font>
      <b/>
      <sz val="12"/>
      <color theme="1"/>
      <name val="HiraMinProN-W3"/>
    </font>
    <font>
      <b/>
      <sz val="14"/>
      <color theme="1"/>
      <name val="HiraMinProN-W3"/>
    </font>
    <font>
      <sz val="10"/>
      <name val="Arial"/>
      <family val="2"/>
    </font>
    <font>
      <b/>
      <sz val="14"/>
      <color rgb="FF203764"/>
      <name val="HiraMinProN-W3"/>
    </font>
    <font>
      <sz val="12"/>
      <color theme="1"/>
      <name val="HiraMinProN-W3"/>
    </font>
    <font>
      <sz val="14"/>
      <color rgb="FF203764"/>
      <name val="HiraMinProN-W3"/>
    </font>
    <font>
      <sz val="9"/>
      <color theme="1"/>
      <name val="HiraMinProN-W3"/>
    </font>
    <font>
      <sz val="11"/>
      <color theme="1"/>
      <name val="HiraMinProN-W3"/>
    </font>
    <font>
      <b/>
      <sz val="11"/>
      <color rgb="FFFFFFFF"/>
      <name val="HiraMinProN-W3"/>
    </font>
    <font>
      <b/>
      <sz val="12"/>
      <color rgb="FFFFFFFF"/>
      <name val="HiraMinProN-W3"/>
    </font>
    <font>
      <sz val="14"/>
      <color theme="1"/>
      <name val="HiraMinProN-W3"/>
    </font>
    <font>
      <b/>
      <sz val="11"/>
      <color theme="1"/>
      <name val="HiraMinProN-W3"/>
    </font>
    <font>
      <b/>
      <sz val="20"/>
      <color rgb="FF203764"/>
      <name val="HiraMinProN-W3"/>
    </font>
    <font>
      <b/>
      <sz val="26"/>
      <color rgb="FF305496"/>
      <name val="HiraMinProN-W3"/>
    </font>
    <font>
      <b/>
      <sz val="10"/>
      <color theme="1"/>
      <name val="HiraMinProN-W3"/>
    </font>
    <font>
      <sz val="10"/>
      <color rgb="FF000000"/>
      <name val="HiraMinProN-W3"/>
    </font>
    <font>
      <b/>
      <sz val="13"/>
      <color theme="1"/>
      <name val="ＭＳ ゴシック"/>
      <family val="3"/>
      <charset val="128"/>
    </font>
    <font>
      <sz val="9"/>
      <color rgb="FFFF0000"/>
      <name val="Meiryo UI"/>
      <family val="3"/>
      <charset val="128"/>
    </font>
    <font>
      <sz val="9"/>
      <color indexed="81"/>
      <name val="MS P ゴシック"/>
      <family val="3"/>
      <charset val="128"/>
    </font>
  </fonts>
  <fills count="8">
    <fill>
      <patternFill patternType="none"/>
    </fill>
    <fill>
      <patternFill patternType="gray125"/>
    </fill>
    <fill>
      <patternFill patternType="solid">
        <fgColor rgb="FFFFFF00"/>
        <bgColor indexed="64"/>
      </patternFill>
    </fill>
    <fill>
      <patternFill patternType="solid">
        <fgColor theme="0" tint="-0.499984740745262"/>
        <bgColor indexed="64"/>
      </patternFill>
    </fill>
    <fill>
      <patternFill patternType="solid">
        <fgColor rgb="FFB4C6E7"/>
        <bgColor rgb="FFB4C6E7"/>
      </patternFill>
    </fill>
    <fill>
      <patternFill patternType="solid">
        <fgColor rgb="FFFFFFFF"/>
        <bgColor rgb="FFFFFFFF"/>
      </patternFill>
    </fill>
    <fill>
      <patternFill patternType="solid">
        <fgColor rgb="FF305496"/>
        <bgColor rgb="FF305496"/>
      </patternFill>
    </fill>
    <fill>
      <patternFill patternType="solid">
        <fgColor theme="5" tint="0.79998168889431442"/>
        <bgColor indexed="64"/>
      </patternFill>
    </fill>
  </fills>
  <borders count="14">
    <border>
      <left/>
      <right/>
      <top/>
      <bottom/>
      <diagonal/>
    </border>
    <border>
      <left/>
      <right style="thin">
        <color rgb="FF999999"/>
      </right>
      <top/>
      <bottom style="thin">
        <color rgb="FF999999"/>
      </bottom>
      <diagonal/>
    </border>
    <border>
      <left/>
      <right/>
      <top/>
      <bottom style="thin">
        <color rgb="FF999999"/>
      </bottom>
      <diagonal/>
    </border>
    <border>
      <left style="thin">
        <color rgb="FF999999"/>
      </left>
      <right/>
      <top/>
      <bottom style="thin">
        <color rgb="FF999999"/>
      </bottom>
      <diagonal/>
    </border>
    <border>
      <left/>
      <right style="thin">
        <color rgb="FF999999"/>
      </right>
      <top/>
      <bottom/>
      <diagonal/>
    </border>
    <border>
      <left style="thin">
        <color rgb="FF999999"/>
      </left>
      <right/>
      <top/>
      <bottom/>
      <diagonal/>
    </border>
    <border>
      <left/>
      <right style="thin">
        <color rgb="FF999999"/>
      </right>
      <top style="thin">
        <color rgb="FF999999"/>
      </top>
      <bottom/>
      <diagonal/>
    </border>
    <border>
      <left/>
      <right/>
      <top style="thin">
        <color rgb="FF999999"/>
      </top>
      <bottom/>
      <diagonal/>
    </border>
    <border>
      <left style="thin">
        <color rgb="FF999999"/>
      </left>
      <right/>
      <top style="thin">
        <color rgb="FF999999"/>
      </top>
      <bottom/>
      <diagonal/>
    </border>
    <border>
      <left/>
      <right/>
      <top style="thin">
        <color rgb="FF999999"/>
      </top>
      <bottom style="thin">
        <color rgb="FF999999"/>
      </bottom>
      <diagonal/>
    </border>
    <border>
      <left/>
      <right/>
      <top/>
      <bottom style="thin">
        <color rgb="FF000000"/>
      </bottom>
      <diagonal/>
    </border>
    <border>
      <left style="thin">
        <color rgb="FF999999"/>
      </left>
      <right style="thin">
        <color rgb="FF999999"/>
      </right>
      <top/>
      <bottom style="thin">
        <color rgb="FF000000"/>
      </bottom>
      <diagonal/>
    </border>
    <border>
      <left style="thin">
        <color rgb="FF999999"/>
      </left>
      <right style="thin">
        <color rgb="FF999999"/>
      </right>
      <top/>
      <bottom/>
      <diagonal/>
    </border>
    <border>
      <left style="thin">
        <color rgb="FF999999"/>
      </left>
      <right style="thin">
        <color rgb="FF999999"/>
      </right>
      <top/>
      <bottom style="thin">
        <color rgb="FF999999"/>
      </bottom>
      <diagonal/>
    </border>
  </borders>
  <cellStyleXfs count="3">
    <xf numFmtId="0" fontId="0" fillId="0" borderId="0">
      <alignment vertical="center"/>
    </xf>
    <xf numFmtId="0" fontId="2" fillId="0" borderId="0" applyNumberFormat="0" applyFill="0" applyBorder="0" applyAlignment="0" applyProtection="0">
      <alignment vertical="center"/>
    </xf>
    <xf numFmtId="0" fontId="3" fillId="0" borderId="0"/>
  </cellStyleXfs>
  <cellXfs count="108">
    <xf numFmtId="0" fontId="0" fillId="0" borderId="0" xfId="0">
      <alignment vertical="center"/>
    </xf>
    <xf numFmtId="0" fontId="0" fillId="0" borderId="0" xfId="0" applyAlignment="1">
      <alignment vertical="center" wrapText="1"/>
    </xf>
    <xf numFmtId="14" fontId="0" fillId="0" borderId="0" xfId="0" applyNumberFormat="1">
      <alignment vertical="center"/>
    </xf>
    <xf numFmtId="56" fontId="0" fillId="0" borderId="0" xfId="0" applyNumberFormat="1">
      <alignment vertical="center"/>
    </xf>
    <xf numFmtId="0" fontId="0" fillId="2" borderId="0" xfId="0" applyFill="1">
      <alignment vertical="center"/>
    </xf>
    <xf numFmtId="0" fontId="0" fillId="2" borderId="0" xfId="0" applyFill="1" applyAlignment="1">
      <alignment vertical="center" wrapText="1"/>
    </xf>
    <xf numFmtId="22" fontId="0" fillId="0" borderId="0" xfId="0" applyNumberFormat="1">
      <alignment vertical="center"/>
    </xf>
    <xf numFmtId="0" fontId="0" fillId="3" borderId="0" xfId="0" applyFill="1">
      <alignment vertical="center"/>
    </xf>
    <xf numFmtId="0" fontId="0" fillId="3" borderId="0" xfId="0" applyFill="1" applyAlignment="1">
      <alignment vertical="center" wrapText="1"/>
    </xf>
    <xf numFmtId="14" fontId="0" fillId="3" borderId="0" xfId="0" applyNumberFormat="1" applyFill="1">
      <alignment vertical="center"/>
    </xf>
    <xf numFmtId="176" fontId="0" fillId="0" borderId="0" xfId="0" applyNumberFormat="1">
      <alignment vertical="center"/>
    </xf>
    <xf numFmtId="176" fontId="0" fillId="0" borderId="0" xfId="0" applyNumberFormat="1" applyAlignment="1">
      <alignment vertical="center" wrapText="1"/>
    </xf>
    <xf numFmtId="176" fontId="0" fillId="3" borderId="0" xfId="0" applyNumberFormat="1" applyFill="1">
      <alignment vertical="center"/>
    </xf>
    <xf numFmtId="176" fontId="0" fillId="3" borderId="0" xfId="0" applyNumberFormat="1" applyFill="1" applyAlignment="1">
      <alignment vertical="center" wrapText="1"/>
    </xf>
    <xf numFmtId="0" fontId="2" fillId="0" borderId="0" xfId="1" applyAlignment="1">
      <alignment vertical="center" wrapText="1"/>
    </xf>
    <xf numFmtId="0" fontId="2" fillId="0" borderId="0" xfId="1">
      <alignment vertical="center"/>
    </xf>
    <xf numFmtId="0" fontId="2" fillId="3" borderId="0" xfId="1" applyFill="1" applyAlignment="1">
      <alignment vertical="center" wrapText="1"/>
    </xf>
    <xf numFmtId="177" fontId="0" fillId="0" borderId="0" xfId="0" applyNumberFormat="1">
      <alignment vertical="center"/>
    </xf>
    <xf numFmtId="177" fontId="0" fillId="0" borderId="0" xfId="0" applyNumberFormat="1" applyAlignment="1">
      <alignment vertical="center" wrapText="1"/>
    </xf>
    <xf numFmtId="177" fontId="0" fillId="3" borderId="0" xfId="0" applyNumberFormat="1" applyFill="1" applyAlignment="1">
      <alignment vertical="center" wrapText="1"/>
    </xf>
    <xf numFmtId="0" fontId="3" fillId="0" borderId="0" xfId="2"/>
    <xf numFmtId="0" fontId="4" fillId="0" borderId="0" xfId="2" applyFont="1"/>
    <xf numFmtId="0" fontId="4" fillId="0" borderId="1" xfId="2" applyFont="1" applyBorder="1"/>
    <xf numFmtId="0" fontId="4" fillId="0" borderId="2" xfId="2" applyFont="1" applyBorder="1"/>
    <xf numFmtId="0" fontId="4" fillId="0" borderId="3" xfId="2" applyFont="1" applyBorder="1"/>
    <xf numFmtId="0" fontId="4" fillId="0" borderId="4" xfId="2" applyFont="1" applyBorder="1"/>
    <xf numFmtId="0" fontId="4" fillId="0" borderId="5" xfId="2" applyFont="1" applyBorder="1"/>
    <xf numFmtId="0" fontId="5" fillId="0" borderId="4" xfId="2" applyFont="1" applyBorder="1" applyAlignment="1">
      <alignment horizontal="right"/>
    </xf>
    <xf numFmtId="0" fontId="5" fillId="0" borderId="0" xfId="2" applyFont="1" applyAlignment="1">
      <alignment horizontal="right"/>
    </xf>
    <xf numFmtId="0" fontId="5" fillId="0" borderId="6" xfId="2" applyFont="1" applyBorder="1" applyAlignment="1">
      <alignment horizontal="right"/>
    </xf>
    <xf numFmtId="0" fontId="5" fillId="0" borderId="7" xfId="2" applyFont="1" applyBorder="1" applyAlignment="1">
      <alignment horizontal="right"/>
    </xf>
    <xf numFmtId="0" fontId="4" fillId="0" borderId="7" xfId="2" applyFont="1" applyBorder="1"/>
    <xf numFmtId="0" fontId="4" fillId="0" borderId="8" xfId="2" applyFont="1" applyBorder="1"/>
    <xf numFmtId="3" fontId="6" fillId="4" borderId="2" xfId="2" applyNumberFormat="1" applyFont="1" applyFill="1" applyBorder="1" applyAlignment="1">
      <alignment vertical="center"/>
    </xf>
    <xf numFmtId="0" fontId="9" fillId="0" borderId="0" xfId="2" applyFont="1"/>
    <xf numFmtId="3" fontId="10" fillId="4" borderId="9" xfId="2" applyNumberFormat="1" applyFont="1" applyFill="1" applyBorder="1" applyAlignment="1">
      <alignment horizontal="right" vertical="center"/>
    </xf>
    <xf numFmtId="3" fontId="10" fillId="4" borderId="2" xfId="2" applyNumberFormat="1" applyFont="1" applyFill="1" applyBorder="1" applyAlignment="1">
      <alignment horizontal="right" vertical="center"/>
    </xf>
    <xf numFmtId="3" fontId="9" fillId="5" borderId="10" xfId="2" applyNumberFormat="1" applyFont="1" applyFill="1" applyBorder="1" applyAlignment="1">
      <alignment horizontal="right"/>
    </xf>
    <xf numFmtId="9" fontId="9" fillId="0" borderId="10" xfId="2" applyNumberFormat="1" applyFont="1" applyBorder="1"/>
    <xf numFmtId="1" fontId="9" fillId="0" borderId="11" xfId="2" applyNumberFormat="1" applyFont="1" applyBorder="1"/>
    <xf numFmtId="0" fontId="4" fillId="0" borderId="10" xfId="2" applyFont="1" applyBorder="1" applyAlignment="1">
      <alignment horizontal="center"/>
    </xf>
    <xf numFmtId="0" fontId="4" fillId="0" borderId="10" xfId="2" applyFont="1" applyBorder="1"/>
    <xf numFmtId="3" fontId="9" fillId="5" borderId="0" xfId="2" applyNumberFormat="1" applyFont="1" applyFill="1" applyAlignment="1">
      <alignment horizontal="right"/>
    </xf>
    <xf numFmtId="9" fontId="9" fillId="0" borderId="0" xfId="2" applyNumberFormat="1" applyFont="1"/>
    <xf numFmtId="1" fontId="9" fillId="0" borderId="12" xfId="2" applyNumberFormat="1" applyFont="1" applyBorder="1"/>
    <xf numFmtId="0" fontId="4" fillId="0" borderId="0" xfId="2" applyFont="1" applyAlignment="1">
      <alignment horizontal="center"/>
    </xf>
    <xf numFmtId="3" fontId="9" fillId="5" borderId="2" xfId="2" applyNumberFormat="1" applyFont="1" applyFill="1" applyBorder="1" applyAlignment="1">
      <alignment horizontal="right"/>
    </xf>
    <xf numFmtId="9" fontId="9" fillId="0" borderId="2" xfId="2" applyNumberFormat="1" applyFont="1" applyBorder="1"/>
    <xf numFmtId="1" fontId="9" fillId="0" borderId="13" xfId="2" applyNumberFormat="1" applyFont="1" applyBorder="1"/>
    <xf numFmtId="0" fontId="4" fillId="0" borderId="2" xfId="2" applyFont="1" applyBorder="1" applyAlignment="1">
      <alignment horizontal="center"/>
    </xf>
    <xf numFmtId="0" fontId="11" fillId="0" borderId="2" xfId="2" applyFont="1" applyBorder="1"/>
    <xf numFmtId="0" fontId="12" fillId="0" borderId="0" xfId="2" applyFont="1"/>
    <xf numFmtId="9" fontId="9" fillId="5" borderId="2" xfId="2" applyNumberFormat="1" applyFont="1" applyFill="1" applyBorder="1"/>
    <xf numFmtId="1" fontId="9" fillId="0" borderId="13" xfId="2" applyNumberFormat="1" applyFont="1" applyBorder="1" applyAlignment="1">
      <alignment horizontal="center"/>
    </xf>
    <xf numFmtId="3" fontId="9" fillId="0" borderId="0" xfId="2" applyNumberFormat="1" applyFont="1"/>
    <xf numFmtId="9" fontId="9" fillId="5" borderId="0" xfId="2" applyNumberFormat="1" applyFont="1" applyFill="1" applyAlignment="1">
      <alignment horizontal="right"/>
    </xf>
    <xf numFmtId="1" fontId="9" fillId="0" borderId="12" xfId="2" applyNumberFormat="1" applyFont="1" applyBorder="1" applyAlignment="1">
      <alignment horizontal="center"/>
    </xf>
    <xf numFmtId="1" fontId="9" fillId="5" borderId="13" xfId="2" applyNumberFormat="1" applyFont="1" applyFill="1" applyBorder="1"/>
    <xf numFmtId="0" fontId="4" fillId="5" borderId="2" xfId="2" applyFont="1" applyFill="1" applyBorder="1" applyAlignment="1">
      <alignment horizontal="center"/>
    </xf>
    <xf numFmtId="0" fontId="4" fillId="5" borderId="2" xfId="2" applyFont="1" applyFill="1" applyBorder="1"/>
    <xf numFmtId="0" fontId="9" fillId="5" borderId="0" xfId="2" applyFont="1" applyFill="1" applyAlignment="1">
      <alignment horizontal="center"/>
    </xf>
    <xf numFmtId="1" fontId="9" fillId="5" borderId="12" xfId="2" applyNumberFormat="1" applyFont="1" applyFill="1" applyBorder="1" applyAlignment="1">
      <alignment horizontal="center"/>
    </xf>
    <xf numFmtId="0" fontId="4" fillId="5" borderId="0" xfId="2" applyFont="1" applyFill="1" applyAlignment="1">
      <alignment horizontal="center"/>
    </xf>
    <xf numFmtId="0" fontId="4" fillId="5" borderId="0" xfId="2" applyFont="1" applyFill="1"/>
    <xf numFmtId="0" fontId="13" fillId="6" borderId="10" xfId="2" applyFont="1" applyFill="1" applyBorder="1" applyAlignment="1">
      <alignment horizontal="center"/>
    </xf>
    <xf numFmtId="0" fontId="13" fillId="6" borderId="11" xfId="2" applyFont="1" applyFill="1" applyBorder="1" applyAlignment="1">
      <alignment horizontal="center"/>
    </xf>
    <xf numFmtId="0" fontId="13" fillId="6" borderId="10" xfId="2" applyFont="1" applyFill="1" applyBorder="1"/>
    <xf numFmtId="0" fontId="13" fillId="6" borderId="10" xfId="2" applyFont="1" applyFill="1" applyBorder="1" applyAlignment="1">
      <alignment horizontal="left"/>
    </xf>
    <xf numFmtId="0" fontId="14" fillId="6" borderId="10" xfId="2" applyFont="1" applyFill="1" applyBorder="1" applyAlignment="1">
      <alignment horizontal="left"/>
    </xf>
    <xf numFmtId="0" fontId="13" fillId="0" borderId="0" xfId="2" applyFont="1" applyAlignment="1">
      <alignment horizontal="left"/>
    </xf>
    <xf numFmtId="31" fontId="16" fillId="0" borderId="0" xfId="2" applyNumberFormat="1" applyFont="1" applyAlignment="1">
      <alignment horizontal="center" vertical="center"/>
    </xf>
    <xf numFmtId="0" fontId="12" fillId="0" borderId="0" xfId="2" applyFont="1" applyAlignment="1">
      <alignment horizontal="left"/>
    </xf>
    <xf numFmtId="0" fontId="13" fillId="0" borderId="0" xfId="2" applyFont="1" applyAlignment="1">
      <alignment horizontal="center"/>
    </xf>
    <xf numFmtId="0" fontId="13" fillId="0" borderId="0" xfId="2" applyFont="1"/>
    <xf numFmtId="0" fontId="17" fillId="0" borderId="0" xfId="2" applyFont="1"/>
    <xf numFmtId="0" fontId="16" fillId="0" borderId="0" xfId="2" applyFont="1"/>
    <xf numFmtId="0" fontId="18" fillId="0" borderId="0" xfId="2" applyFont="1" applyAlignment="1">
      <alignment horizontal="center"/>
    </xf>
    <xf numFmtId="31" fontId="19" fillId="0" borderId="0" xfId="2" applyNumberFormat="1" applyFont="1" applyAlignment="1">
      <alignment horizontal="center" vertical="center"/>
    </xf>
    <xf numFmtId="0" fontId="19" fillId="0" borderId="0" xfId="2" applyFont="1" applyAlignment="1">
      <alignment horizontal="right"/>
    </xf>
    <xf numFmtId="0" fontId="19" fillId="0" borderId="0" xfId="2" applyFont="1" applyAlignment="1">
      <alignment horizontal="center" vertical="center"/>
    </xf>
    <xf numFmtId="0" fontId="20" fillId="0" borderId="0" xfId="2" applyFont="1" applyAlignment="1">
      <alignment horizontal="right"/>
    </xf>
    <xf numFmtId="0" fontId="0" fillId="0" borderId="0" xfId="0" applyAlignment="1">
      <alignment horizontal="left" wrapText="1"/>
    </xf>
    <xf numFmtId="0" fontId="0" fillId="7" borderId="0" xfId="0" applyFill="1">
      <alignment vertical="center"/>
    </xf>
    <xf numFmtId="0" fontId="0" fillId="7" borderId="0" xfId="0" applyFill="1" applyAlignment="1">
      <alignment vertical="center" wrapText="1"/>
    </xf>
    <xf numFmtId="177" fontId="0" fillId="7" borderId="0" xfId="0" applyNumberFormat="1" applyFill="1" applyAlignment="1">
      <alignment vertical="center" wrapText="1"/>
    </xf>
    <xf numFmtId="176" fontId="0" fillId="7" borderId="0" xfId="0" applyNumberFormat="1" applyFill="1">
      <alignment vertical="center"/>
    </xf>
    <xf numFmtId="0" fontId="2" fillId="7" borderId="0" xfId="1" applyFill="1">
      <alignment vertical="center"/>
    </xf>
    <xf numFmtId="14" fontId="0" fillId="7" borderId="0" xfId="0" applyNumberFormat="1" applyFill="1">
      <alignment vertical="center"/>
    </xf>
    <xf numFmtId="179" fontId="15" fillId="0" borderId="0" xfId="2" applyNumberFormat="1" applyFont="1" applyAlignment="1">
      <alignment horizontal="center" vertical="center"/>
    </xf>
    <xf numFmtId="0" fontId="3" fillId="0" borderId="0" xfId="2"/>
    <xf numFmtId="0" fontId="7" fillId="0" borderId="2" xfId="2" applyFont="1" applyBorder="1"/>
    <xf numFmtId="0" fontId="4" fillId="0" borderId="0" xfId="2" applyFont="1"/>
    <xf numFmtId="0" fontId="18" fillId="0" borderId="0" xfId="2" applyFont="1" applyAlignment="1">
      <alignment horizontal="center"/>
    </xf>
    <xf numFmtId="0" fontId="13" fillId="6" borderId="0" xfId="2" applyFont="1" applyFill="1" applyAlignment="1">
      <alignment horizontal="center"/>
    </xf>
    <xf numFmtId="0" fontId="12" fillId="0" borderId="0" xfId="2" applyFont="1" applyAlignment="1">
      <alignment horizontal="left"/>
    </xf>
    <xf numFmtId="0" fontId="21" fillId="0" borderId="0" xfId="2" applyFont="1" applyAlignment="1">
      <alignment horizontal="right" vertical="center"/>
    </xf>
    <xf numFmtId="0" fontId="3" fillId="0" borderId="0" xfId="2" applyAlignment="1">
      <alignment horizontal="right"/>
    </xf>
    <xf numFmtId="0" fontId="13" fillId="6" borderId="0" xfId="2" applyFont="1" applyFill="1" applyAlignment="1">
      <alignment horizontal="left"/>
    </xf>
    <xf numFmtId="31" fontId="16" fillId="0" borderId="0" xfId="2" applyNumberFormat="1" applyFont="1" applyAlignment="1">
      <alignment horizontal="center" vertical="center"/>
    </xf>
    <xf numFmtId="0" fontId="4" fillId="0" borderId="0" xfId="2" applyFont="1" applyAlignment="1">
      <alignment horizontal="left"/>
    </xf>
    <xf numFmtId="0" fontId="4" fillId="0" borderId="5" xfId="2" applyFont="1" applyBorder="1"/>
    <xf numFmtId="0" fontId="12" fillId="0" borderId="0" xfId="2" applyFont="1"/>
    <xf numFmtId="178" fontId="12" fillId="0" borderId="2" xfId="2" applyNumberFormat="1" applyFont="1" applyBorder="1"/>
    <xf numFmtId="0" fontId="12" fillId="0" borderId="2" xfId="2" applyFont="1" applyBorder="1"/>
    <xf numFmtId="0" fontId="10" fillId="4" borderId="2" xfId="2" applyFont="1" applyFill="1" applyBorder="1" applyAlignment="1">
      <alignment vertical="center"/>
    </xf>
    <xf numFmtId="0" fontId="10" fillId="4" borderId="9" xfId="2" applyFont="1" applyFill="1" applyBorder="1" applyAlignment="1">
      <alignment vertical="center"/>
    </xf>
    <xf numFmtId="0" fontId="7" fillId="0" borderId="9" xfId="2" applyFont="1" applyBorder="1"/>
    <xf numFmtId="0" fontId="8" fillId="4" borderId="2" xfId="2" applyFont="1" applyFill="1" applyBorder="1" applyAlignment="1">
      <alignment vertical="center"/>
    </xf>
  </cellXfs>
  <cellStyles count="3">
    <cellStyle name="ハイパーリンク" xfId="1" builtinId="8"/>
    <cellStyle name="標準" xfId="0" builtinId="0"/>
    <cellStyle name="標準 2" xfId="2" xr:uid="{1C4C1AD9-5FF1-4DBF-892F-A52E0FAE85E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 Id="rId9"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absoluteAnchor>
    <xdr:pos x="1028700" y="2314575"/>
    <xdr:ext cx="4000500" cy="1143000"/>
    <xdr:sp macro="" textlink="">
      <xdr:nvSpPr>
        <xdr:cNvPr id="2" name="Text Box 2" hidden="1">
          <a:extLst>
            <a:ext uri="{FF2B5EF4-FFF2-40B4-BE49-F238E27FC236}">
              <a16:creationId xmlns:a16="http://schemas.microsoft.com/office/drawing/2014/main" id="{5906D1F0-2938-4965-B734-DA497191F8B5}"/>
            </a:ext>
          </a:extLst>
        </xdr:cNvPr>
        <xdr:cNvSpPr txBox="1">
          <a:spLocks noChangeArrowheads="1"/>
        </xdr:cNvSpPr>
      </xdr:nvSpPr>
      <xdr:spPr bwMode="auto">
        <a:xfrm>
          <a:off x="1028700" y="2314575"/>
          <a:ext cx="4000500" cy="11430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absolute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abiru\Downloads\&#12304;&#12521;&#12452;&#12475;&#12531;&#12473;&#29992;&#12305;&#21205;&#27880;&#27835;&#30274;&#12524;&#12509;&#12540;&#12488;&#20837;&#21147;&#65288;&#22238;&#31572;&#65289;.xlsx" TargetMode="External"/><Relationship Id="rId1" Type="http://schemas.openxmlformats.org/officeDocument/2006/relationships/externalLinkPath" Target="file:///C:\Users\abiru\Downloads\&#12304;&#12521;&#12452;&#12475;&#12531;&#12473;&#29992;&#12305;&#21205;&#27880;&#27835;&#30274;&#12524;&#12509;&#12540;&#12488;&#20837;&#21147;&#65288;&#22238;&#31572;&#65289;.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動注】回答"/>
      <sheetName val="件数表"/>
      <sheetName val="契約リスト"/>
      <sheetName val="支払管理表"/>
      <sheetName val="請求書"/>
      <sheetName val="手打ち請求書フォーマット"/>
      <sheetName val="メール文章"/>
      <sheetName val="請求書作成・送付マニュアル"/>
      <sheetName val="都道府県コード"/>
    </sheetNames>
    <sheetDataSet>
      <sheetData sheetId="0" refreshError="1"/>
      <sheetData sheetId="1" refreshError="1"/>
      <sheetData sheetId="2" refreshError="1"/>
      <sheetData sheetId="3">
        <row r="1">
          <cell r="O1" t="str">
            <v>E列 請求書発行年月より自動計算</v>
          </cell>
        </row>
        <row r="2">
          <cell r="D2" t="str">
            <v>請求書No.
(自動)</v>
          </cell>
          <cell r="E2" t="str">
            <v>請求書発行日
(手動)</v>
          </cell>
          <cell r="F2" t="str">
            <v>契約No.
(貼り付け)</v>
          </cell>
          <cell r="G2" t="str">
            <v>医療機関
(貼り付け）</v>
          </cell>
          <cell r="H2" t="str">
            <v>ドクター名
(自動)</v>
          </cell>
          <cell r="I2" t="str">
            <v>内容
(自動)</v>
          </cell>
          <cell r="J2" t="str">
            <v>支払い期日
(自動)</v>
          </cell>
          <cell r="K2" t="str">
            <v>請求額
(自動)</v>
          </cell>
          <cell r="L2" t="str">
            <v>入金日
（経理手入力）</v>
          </cell>
          <cell r="M2" t="str">
            <v>備考</v>
          </cell>
          <cell r="N2" t="str">
            <v>初期契約日</v>
          </cell>
          <cell r="O2" t="str">
            <v>本年契約対象開始日</v>
          </cell>
          <cell r="P2" t="str">
            <v>本年契約終了日</v>
          </cell>
          <cell r="Q2" t="str">
            <v>ﾗﾝﾆﾝｸﾞﾛｲﾔﾘﾃｨ 2年目のみ(自動)</v>
          </cell>
          <cell r="R2" t="str">
            <v>契約年数
(自動)</v>
          </cell>
          <cell r="S2" t="str">
            <v>請求書データベース
(自動)</v>
          </cell>
          <cell r="T2" t="str">
            <v>請求書データベース
(自動)</v>
          </cell>
        </row>
        <row r="3">
          <cell r="D3" t="e">
            <v>#VALUE!</v>
          </cell>
          <cell r="E3">
            <v>44810</v>
          </cell>
          <cell r="F3">
            <v>5</v>
          </cell>
          <cell r="G3" t="str">
            <v>医療法人　山口整形外科様</v>
          </cell>
          <cell r="H3" t="str">
            <v>山口　和博</v>
          </cell>
          <cell r="I3" t="e">
            <v>#VALUE!</v>
          </cell>
          <cell r="J3" t="e">
            <v>#VALUE!</v>
          </cell>
          <cell r="K3">
            <v>55000</v>
          </cell>
          <cell r="L3">
            <v>44810</v>
          </cell>
          <cell r="M3"/>
          <cell r="N3" t="str">
            <v>2022/08/22</v>
          </cell>
          <cell r="O3" t="e">
            <v>#VALUE!</v>
          </cell>
          <cell r="P3" t="e">
            <v>#VALUE!</v>
          </cell>
          <cell r="Q3" t="str">
            <v/>
          </cell>
          <cell r="R3">
            <v>1</v>
          </cell>
          <cell r="S3" t="str">
            <v>#REF!</v>
          </cell>
          <cell r="T3" t="str">
            <v>#REF!</v>
          </cell>
        </row>
        <row r="4">
          <cell r="D4" t="e">
            <v>#VALUE!</v>
          </cell>
          <cell r="E4">
            <v>44813</v>
          </cell>
          <cell r="F4">
            <v>3</v>
          </cell>
          <cell r="G4" t="str">
            <v>医療法人社団 筒井整形外科クリニック様</v>
          </cell>
          <cell r="H4" t="str">
            <v>筒井　聡</v>
          </cell>
          <cell r="I4" t="e">
            <v>#VALUE!</v>
          </cell>
          <cell r="J4" t="e">
            <v>#VALUE!</v>
          </cell>
          <cell r="K4">
            <v>55000</v>
          </cell>
          <cell r="L4">
            <v>44813</v>
          </cell>
          <cell r="M4"/>
          <cell r="N4" t="e">
            <v>#N/A</v>
          </cell>
          <cell r="O4" t="e">
            <v>#VALUE!</v>
          </cell>
          <cell r="P4" t="e">
            <v>#VALUE!</v>
          </cell>
          <cell r="Q4" t="str">
            <v/>
          </cell>
          <cell r="R4">
            <v>1</v>
          </cell>
          <cell r="S4" t="str">
            <v>#REF!</v>
          </cell>
          <cell r="T4" t="str">
            <v>#REF!</v>
          </cell>
        </row>
        <row r="5">
          <cell r="D5" t="e">
            <v>#VALUE!</v>
          </cell>
          <cell r="E5">
            <v>44813</v>
          </cell>
          <cell r="F5">
            <v>7</v>
          </cell>
          <cell r="G5" t="str">
            <v>慶元整形外科　リハビリ骨粗鬆症クリニック</v>
          </cell>
          <cell r="H5" t="str">
            <v>慶元　秀規</v>
          </cell>
          <cell r="I5" t="e">
            <v>#VALUE!</v>
          </cell>
          <cell r="J5" t="e">
            <v>#VALUE!</v>
          </cell>
          <cell r="K5">
            <v>55000</v>
          </cell>
          <cell r="L5">
            <v>44813</v>
          </cell>
          <cell r="M5"/>
          <cell r="N5" t="str">
            <v>2022/08/29</v>
          </cell>
          <cell r="O5" t="e">
            <v>#VALUE!</v>
          </cell>
          <cell r="P5" t="e">
            <v>#VALUE!</v>
          </cell>
          <cell r="Q5" t="str">
            <v/>
          </cell>
          <cell r="R5">
            <v>1</v>
          </cell>
          <cell r="S5" t="str">
            <v>#REF!</v>
          </cell>
          <cell r="T5" t="str">
            <v>#REF!</v>
          </cell>
        </row>
        <row r="6">
          <cell r="D6" t="e">
            <v>#VALUE!</v>
          </cell>
          <cell r="E6">
            <v>44824</v>
          </cell>
          <cell r="F6">
            <v>8</v>
          </cell>
          <cell r="G6" t="str">
            <v>谷掛整形外科診療所</v>
          </cell>
          <cell r="H6" t="str">
            <v>谷掛　洋平</v>
          </cell>
          <cell r="I6" t="e">
            <v>#VALUE!</v>
          </cell>
          <cell r="J6" t="e">
            <v>#VALUE!</v>
          </cell>
          <cell r="K6">
            <v>55000</v>
          </cell>
          <cell r="L6">
            <v>44824</v>
          </cell>
          <cell r="M6"/>
          <cell r="N6" t="str">
            <v>2022/11/01</v>
          </cell>
          <cell r="O6" t="e">
            <v>#VALUE!</v>
          </cell>
          <cell r="P6" t="e">
            <v>#VALUE!</v>
          </cell>
          <cell r="Q6" t="str">
            <v/>
          </cell>
          <cell r="R6">
            <v>1</v>
          </cell>
          <cell r="S6" t="str">
            <v>#REF!</v>
          </cell>
          <cell r="T6" t="str">
            <v>#REF!</v>
          </cell>
        </row>
        <row r="7">
          <cell r="D7" t="e">
            <v>#VALUE!</v>
          </cell>
          <cell r="E7">
            <v>44838</v>
          </cell>
          <cell r="F7">
            <v>4</v>
          </cell>
          <cell r="G7" t="str">
            <v>東京先進整形外科様</v>
          </cell>
          <cell r="H7" t="str">
            <v>面谷　透
（おもだに　とおる）</v>
          </cell>
          <cell r="I7" t="e">
            <v>#VALUE!</v>
          </cell>
          <cell r="J7" t="e">
            <v>#VALUE!</v>
          </cell>
          <cell r="K7">
            <v>55000</v>
          </cell>
          <cell r="L7">
            <v>44838</v>
          </cell>
          <cell r="M7"/>
          <cell r="N7" t="str">
            <v>2022/08/09</v>
          </cell>
          <cell r="O7" t="e">
            <v>#VALUE!</v>
          </cell>
          <cell r="P7" t="e">
            <v>#VALUE!</v>
          </cell>
          <cell r="Q7" t="str">
            <v/>
          </cell>
          <cell r="R7">
            <v>1</v>
          </cell>
          <cell r="S7" t="str">
            <v>#REF!</v>
          </cell>
          <cell r="T7" t="str">
            <v>#REF!</v>
          </cell>
        </row>
        <row r="8">
          <cell r="D8" t="e">
            <v>#VALUE!</v>
          </cell>
          <cell r="E8">
            <v>44853</v>
          </cell>
          <cell r="F8">
            <v>9</v>
          </cell>
          <cell r="G8" t="str">
            <v>医療法人 源算会 猿渡整形外科スポーツリハクリニック</v>
          </cell>
          <cell r="H8" t="str">
            <v>猿渡　知行</v>
          </cell>
          <cell r="I8" t="e">
            <v>#VALUE!</v>
          </cell>
          <cell r="J8" t="e">
            <v>#VALUE!</v>
          </cell>
          <cell r="K8">
            <v>55000</v>
          </cell>
          <cell r="L8">
            <v>44853</v>
          </cell>
          <cell r="M8"/>
          <cell r="N8" t="e">
            <v>#N/A</v>
          </cell>
          <cell r="O8" t="e">
            <v>#VALUE!</v>
          </cell>
          <cell r="P8" t="e">
            <v>#VALUE!</v>
          </cell>
          <cell r="Q8" t="str">
            <v/>
          </cell>
          <cell r="R8">
            <v>1</v>
          </cell>
          <cell r="S8" t="str">
            <v>#REF!</v>
          </cell>
          <cell r="T8" t="str">
            <v>#REF!</v>
          </cell>
        </row>
        <row r="9">
          <cell r="D9" t="str">
            <v>2022DL-1107</v>
          </cell>
          <cell r="E9">
            <v>44866</v>
          </cell>
          <cell r="F9">
            <v>11</v>
          </cell>
          <cell r="G9" t="str">
            <v>なごやEVTクリニック様</v>
          </cell>
          <cell r="H9" t="str">
            <v>鴨井　大典</v>
          </cell>
          <cell r="I9" t="e">
            <v>#VALUE!</v>
          </cell>
          <cell r="J9" t="e">
            <v>#VALUE!</v>
          </cell>
          <cell r="K9">
            <v>55000</v>
          </cell>
          <cell r="L9">
            <v>44866</v>
          </cell>
          <cell r="M9"/>
          <cell r="N9" t="str">
            <v>2022/10/13</v>
          </cell>
          <cell r="O9" t="e">
            <v>#VALUE!</v>
          </cell>
          <cell r="P9" t="e">
            <v>#VALUE!</v>
          </cell>
          <cell r="Q9" t="str">
            <v/>
          </cell>
          <cell r="R9">
            <v>1</v>
          </cell>
          <cell r="S9" t="str">
            <v>#REF!</v>
          </cell>
          <cell r="T9" t="str">
            <v>#REF!</v>
          </cell>
        </row>
        <row r="10">
          <cell r="D10" t="e">
            <v>#VALUE!</v>
          </cell>
          <cell r="E10">
            <v>44866</v>
          </cell>
          <cell r="F10">
            <v>12</v>
          </cell>
          <cell r="G10" t="str">
            <v>おかざき足の血管外科・痛みのクリニック様</v>
          </cell>
          <cell r="H10" t="str">
            <v>藤原　圭史</v>
          </cell>
          <cell r="I10" t="e">
            <v>#VALUE!</v>
          </cell>
          <cell r="J10" t="e">
            <v>#VALUE!</v>
          </cell>
          <cell r="K10">
            <v>55000</v>
          </cell>
          <cell r="L10">
            <v>44866</v>
          </cell>
          <cell r="M10" t="str">
            <v>10月分外注費と相殺</v>
          </cell>
          <cell r="N10" t="str">
            <v>2022/11/01</v>
          </cell>
          <cell r="O10" t="e">
            <v>#VALUE!</v>
          </cell>
          <cell r="P10" t="e">
            <v>#VALUE!</v>
          </cell>
          <cell r="Q10" t="str">
            <v/>
          </cell>
          <cell r="R10">
            <v>1</v>
          </cell>
          <cell r="S10" t="str">
            <v>#REF!</v>
          </cell>
          <cell r="T10" t="str">
            <v>#REF!</v>
          </cell>
        </row>
        <row r="11">
          <cell r="D11" t="str">
            <v>2022DL-1109</v>
          </cell>
          <cell r="E11">
            <v>44869</v>
          </cell>
          <cell r="F11">
            <v>10</v>
          </cell>
          <cell r="G11" t="str">
            <v>医療法人社団誠幸会わだ整形外科クリニック</v>
          </cell>
          <cell r="H11" t="str">
            <v>和田　誠</v>
          </cell>
          <cell r="I11" t="e">
            <v>#VALUE!</v>
          </cell>
          <cell r="J11" t="e">
            <v>#VALUE!</v>
          </cell>
          <cell r="K11">
            <v>55000</v>
          </cell>
          <cell r="L11">
            <v>44869</v>
          </cell>
          <cell r="M11"/>
          <cell r="N11" t="str">
            <v>2022/10/11</v>
          </cell>
          <cell r="O11" t="e">
            <v>#VALUE!</v>
          </cell>
          <cell r="P11" t="e">
            <v>#VALUE!</v>
          </cell>
          <cell r="Q11" t="str">
            <v/>
          </cell>
          <cell r="R11">
            <v>1</v>
          </cell>
          <cell r="S11" t="str">
            <v>#REF!</v>
          </cell>
          <cell r="T11" t="str">
            <v>#REF!</v>
          </cell>
        </row>
        <row r="12">
          <cell r="D12" t="e">
            <v>#VALUE!</v>
          </cell>
          <cell r="E12">
            <v>44879</v>
          </cell>
          <cell r="F12">
            <v>15</v>
          </cell>
          <cell r="G12" t="str">
            <v>よこい整形外科　健康スポーツクリニック様</v>
          </cell>
          <cell r="H12" t="str">
            <v>横井　裕之</v>
          </cell>
          <cell r="I12" t="e">
            <v>#VALUE!</v>
          </cell>
          <cell r="J12" t="e">
            <v>#VALUE!</v>
          </cell>
          <cell r="K12">
            <v>55000</v>
          </cell>
          <cell r="L12">
            <v>44879</v>
          </cell>
          <cell r="M12"/>
          <cell r="N12" t="str">
            <v>2022/10/25</v>
          </cell>
          <cell r="O12" t="e">
            <v>#VALUE!</v>
          </cell>
          <cell r="P12" t="e">
            <v>#VALUE!</v>
          </cell>
          <cell r="Q12" t="str">
            <v/>
          </cell>
          <cell r="R12">
            <v>1</v>
          </cell>
          <cell r="S12" t="str">
            <v>#REF!</v>
          </cell>
          <cell r="T12" t="str">
            <v>#REF!</v>
          </cell>
        </row>
        <row r="13">
          <cell r="D13" t="e">
            <v>#VALUE!</v>
          </cell>
          <cell r="E13">
            <v>44883</v>
          </cell>
          <cell r="F13">
            <v>13</v>
          </cell>
          <cell r="G13" t="str">
            <v>社会医療法人　駿甲会　甲賀病院様</v>
          </cell>
          <cell r="H13" t="str">
            <v>#N/A</v>
          </cell>
          <cell r="I13" t="e">
            <v>#VALUE!</v>
          </cell>
          <cell r="J13" t="e">
            <v>#VALUE!</v>
          </cell>
          <cell r="K13">
            <v>55000</v>
          </cell>
          <cell r="L13">
            <v>44883</v>
          </cell>
          <cell r="M13"/>
          <cell r="N13" t="str">
            <v>2022/10/15</v>
          </cell>
          <cell r="O13" t="e">
            <v>#VALUE!</v>
          </cell>
          <cell r="P13" t="e">
            <v>#VALUE!</v>
          </cell>
          <cell r="Q13" t="str">
            <v/>
          </cell>
          <cell r="R13">
            <v>1</v>
          </cell>
          <cell r="S13" t="str">
            <v>#REF!</v>
          </cell>
          <cell r="T13" t="str">
            <v>#REF!</v>
          </cell>
        </row>
        <row r="14">
          <cell r="D14" t="e">
            <v>#VALUE!</v>
          </cell>
          <cell r="E14">
            <v>44890</v>
          </cell>
          <cell r="F14"/>
          <cell r="G14" t="str">
            <v>石田　岳先生</v>
          </cell>
          <cell r="H14" t="str">
            <v>#N/A</v>
          </cell>
          <cell r="I14" t="e">
            <v>#VALUE!</v>
          </cell>
          <cell r="J14" t="e">
            <v>#VALUE!</v>
          </cell>
          <cell r="K14">
            <v>55000</v>
          </cell>
          <cell r="L14">
            <v>44890</v>
          </cell>
          <cell r="M14"/>
          <cell r="N14" t="str">
            <v>2022/10/21</v>
          </cell>
          <cell r="O14" t="e">
            <v>#VALUE!</v>
          </cell>
          <cell r="P14" t="e">
            <v>#VALUE!</v>
          </cell>
          <cell r="Q14" t="str">
            <v/>
          </cell>
          <cell r="R14">
            <v>1</v>
          </cell>
          <cell r="S14" t="str">
            <v>#REF!</v>
          </cell>
          <cell r="T14" t="str">
            <v>#REF!</v>
          </cell>
        </row>
        <row r="15">
          <cell r="D15" t="e">
            <v>#VALUE!</v>
          </cell>
          <cell r="E15">
            <v>44890</v>
          </cell>
          <cell r="F15">
            <v>16</v>
          </cell>
          <cell r="G15" t="str">
            <v>ためがい整形外科クリニック様</v>
          </cell>
          <cell r="H15" t="str">
            <v>為貝　秀明</v>
          </cell>
          <cell r="I15" t="e">
            <v>#VALUE!</v>
          </cell>
          <cell r="J15" t="e">
            <v>#VALUE!</v>
          </cell>
          <cell r="K15">
            <v>55000</v>
          </cell>
          <cell r="L15">
            <v>44890</v>
          </cell>
          <cell r="M15"/>
          <cell r="N15" t="e">
            <v>#VALUE!</v>
          </cell>
          <cell r="O15" t="e">
            <v>#VALUE!</v>
          </cell>
          <cell r="P15" t="e">
            <v>#VALUE!</v>
          </cell>
          <cell r="Q15" t="str">
            <v/>
          </cell>
          <cell r="R15">
            <v>1</v>
          </cell>
          <cell r="S15" t="str">
            <v>#REF!</v>
          </cell>
          <cell r="T15" t="str">
            <v>#REF!</v>
          </cell>
        </row>
        <row r="16">
          <cell r="D16" t="e">
            <v>#VALUE!</v>
          </cell>
          <cell r="E16">
            <v>44908</v>
          </cell>
          <cell r="F16">
            <v>17</v>
          </cell>
          <cell r="G16" t="str">
            <v>さくがわクリニック様</v>
          </cell>
          <cell r="H16" t="str">
            <v>佐久川　貴行</v>
          </cell>
          <cell r="I16" t="e">
            <v>#VALUE!</v>
          </cell>
          <cell r="J16" t="e">
            <v>#VALUE!</v>
          </cell>
          <cell r="K16">
            <v>55000</v>
          </cell>
          <cell r="L16">
            <v>44908</v>
          </cell>
          <cell r="M16"/>
          <cell r="N16" t="str">
            <v>2023/01/01</v>
          </cell>
          <cell r="O16" t="e">
            <v>#VALUE!</v>
          </cell>
          <cell r="P16" t="e">
            <v>#VALUE!</v>
          </cell>
          <cell r="Q16" t="str">
            <v/>
          </cell>
          <cell r="R16">
            <v>1</v>
          </cell>
          <cell r="S16" t="str">
            <v>#REF!</v>
          </cell>
          <cell r="T16" t="str">
            <v>#REF!</v>
          </cell>
        </row>
        <row r="17">
          <cell r="D17" t="e">
            <v>#VALUE!</v>
          </cell>
          <cell r="E17">
            <v>44963</v>
          </cell>
          <cell r="F17">
            <v>20</v>
          </cell>
          <cell r="G17" t="str">
            <v>高陽整形外科クリニック様</v>
          </cell>
          <cell r="H17" t="str">
            <v>今田　岳男</v>
          </cell>
          <cell r="I17" t="e">
            <v>#VALUE!</v>
          </cell>
          <cell r="J17" t="e">
            <v>#VALUE!</v>
          </cell>
          <cell r="K17">
            <v>55000</v>
          </cell>
          <cell r="L17">
            <v>44963</v>
          </cell>
          <cell r="M17"/>
          <cell r="N17" t="e">
            <v>#VALUE!</v>
          </cell>
          <cell r="O17" t="e">
            <v>#VALUE!</v>
          </cell>
          <cell r="P17" t="e">
            <v>#VALUE!</v>
          </cell>
          <cell r="Q17" t="str">
            <v/>
          </cell>
          <cell r="R17">
            <v>1</v>
          </cell>
          <cell r="S17" t="str">
            <v>#REF!</v>
          </cell>
          <cell r="T17" t="str">
            <v>#REF!</v>
          </cell>
        </row>
        <row r="18">
          <cell r="D18" t="str">
            <v>2023DL-0216</v>
          </cell>
          <cell r="E18">
            <v>44970</v>
          </cell>
          <cell r="F18">
            <v>27</v>
          </cell>
          <cell r="G18" t="str">
            <v>西国立整形外科クリニック様</v>
          </cell>
          <cell r="H18" t="str">
            <v>韓　哲舜
（ハン　チョルスン）</v>
          </cell>
          <cell r="I18" t="e">
            <v>#VALUE!</v>
          </cell>
          <cell r="J18" t="e">
            <v>#VALUE!</v>
          </cell>
          <cell r="K18">
            <v>55000</v>
          </cell>
          <cell r="L18">
            <v>44970</v>
          </cell>
          <cell r="M18"/>
          <cell r="N18" t="str">
            <v>2023/02/08</v>
          </cell>
          <cell r="O18" t="e">
            <v>#VALUE!</v>
          </cell>
          <cell r="P18" t="e">
            <v>#VALUE!</v>
          </cell>
          <cell r="Q18" t="str">
            <v/>
          </cell>
          <cell r="R18">
            <v>1</v>
          </cell>
          <cell r="S18" t="str">
            <v>#REF!</v>
          </cell>
          <cell r="T18" t="str">
            <v>#REF!</v>
          </cell>
        </row>
        <row r="19">
          <cell r="D19" t="e">
            <v>#VALUE!</v>
          </cell>
          <cell r="E19">
            <v>44971</v>
          </cell>
          <cell r="F19">
            <v>22</v>
          </cell>
          <cell r="G19" t="str">
            <v>帝都メディカルクリニック西新井駅前院様</v>
          </cell>
          <cell r="H19" t="str">
            <v>藤田　将英</v>
          </cell>
          <cell r="I19" t="e">
            <v>#VALUE!</v>
          </cell>
          <cell r="J19" t="e">
            <v>#VALUE!</v>
          </cell>
          <cell r="K19">
            <v>55000</v>
          </cell>
          <cell r="L19">
            <v>44971</v>
          </cell>
          <cell r="M19"/>
          <cell r="N19" t="str">
            <v>2023/02/20</v>
          </cell>
          <cell r="O19" t="e">
            <v>#VALUE!</v>
          </cell>
          <cell r="P19" t="e">
            <v>#VALUE!</v>
          </cell>
          <cell r="Q19" t="str">
            <v/>
          </cell>
          <cell r="R19">
            <v>1</v>
          </cell>
          <cell r="S19" t="str">
            <v>#REF!</v>
          </cell>
          <cell r="T19" t="str">
            <v>#REF!</v>
          </cell>
        </row>
        <row r="20">
          <cell r="D20" t="e">
            <v>#VALUE!</v>
          </cell>
          <cell r="E20">
            <v>44971</v>
          </cell>
          <cell r="F20">
            <v>36</v>
          </cell>
          <cell r="G20" t="str">
            <v>たいら手の外科・整形外科様</v>
          </cell>
          <cell r="H20" t="str">
            <v>平良　貴志
（たいら　たかし）</v>
          </cell>
          <cell r="I20" t="e">
            <v>#VALUE!</v>
          </cell>
          <cell r="J20" t="e">
            <v>#VALUE!</v>
          </cell>
          <cell r="K20">
            <v>55000</v>
          </cell>
          <cell r="L20">
            <v>44971</v>
          </cell>
          <cell r="M20"/>
          <cell r="N20" t="str">
            <v>2023/02/09</v>
          </cell>
          <cell r="O20" t="e">
            <v>#VALUE!</v>
          </cell>
          <cell r="P20" t="e">
            <v>#VALUE!</v>
          </cell>
          <cell r="Q20" t="str">
            <v/>
          </cell>
          <cell r="R20">
            <v>1</v>
          </cell>
          <cell r="S20" t="str">
            <v>#REF!</v>
          </cell>
          <cell r="T20" t="str">
            <v>#REF!</v>
          </cell>
        </row>
        <row r="21">
          <cell r="D21" t="str">
            <v>2023DL-0219</v>
          </cell>
          <cell r="E21">
            <v>44971</v>
          </cell>
          <cell r="F21">
            <v>26</v>
          </cell>
          <cell r="G21" t="str">
            <v>うえしま整形外科・婦人科様</v>
          </cell>
          <cell r="H21" t="str">
            <v>上島　謙一</v>
          </cell>
          <cell r="I21" t="e">
            <v>#VALUE!</v>
          </cell>
          <cell r="J21" t="e">
            <v>#VALUE!</v>
          </cell>
          <cell r="K21">
            <v>55000</v>
          </cell>
          <cell r="L21">
            <v>44971</v>
          </cell>
          <cell r="M21"/>
          <cell r="N21" t="str">
            <v>2023/02/07</v>
          </cell>
          <cell r="O21" t="e">
            <v>#VALUE!</v>
          </cell>
          <cell r="P21" t="e">
            <v>#VALUE!</v>
          </cell>
          <cell r="Q21" t="str">
            <v/>
          </cell>
          <cell r="R21">
            <v>1</v>
          </cell>
          <cell r="S21" t="str">
            <v>#REF!</v>
          </cell>
          <cell r="T21" t="str">
            <v>#REF!</v>
          </cell>
        </row>
        <row r="22">
          <cell r="D22" t="e">
            <v>#VALUE!</v>
          </cell>
          <cell r="E22">
            <v>44974</v>
          </cell>
          <cell r="F22">
            <v>35</v>
          </cell>
          <cell r="G22" t="str">
            <v>こんどう整形外科クリニック様</v>
          </cell>
          <cell r="H22" t="str">
            <v>建道　寿教
（こんどう　としのり）</v>
          </cell>
          <cell r="I22" t="e">
            <v>#VALUE!</v>
          </cell>
          <cell r="J22" t="e">
            <v>#VALUE!</v>
          </cell>
          <cell r="K22">
            <v>55000</v>
          </cell>
          <cell r="L22">
            <v>44974</v>
          </cell>
          <cell r="M22"/>
          <cell r="N22" t="str">
            <v>2023/02/09</v>
          </cell>
          <cell r="O22" t="e">
            <v>#VALUE!</v>
          </cell>
          <cell r="P22" t="e">
            <v>#VALUE!</v>
          </cell>
          <cell r="Q22" t="str">
            <v/>
          </cell>
          <cell r="R22">
            <v>1</v>
          </cell>
          <cell r="S22" t="str">
            <v>#REF!</v>
          </cell>
          <cell r="T22" t="str">
            <v>#REF!</v>
          </cell>
        </row>
        <row r="23">
          <cell r="D23" t="e">
            <v>#VALUE!</v>
          </cell>
          <cell r="E23">
            <v>44977</v>
          </cell>
          <cell r="F23">
            <v>29</v>
          </cell>
          <cell r="G23" t="str">
            <v>上林整形クリニック様</v>
          </cell>
          <cell r="H23" t="str">
            <v>上林　洋二</v>
          </cell>
          <cell r="I23" t="e">
            <v>#VALUE!</v>
          </cell>
          <cell r="J23" t="e">
            <v>#VALUE!</v>
          </cell>
          <cell r="K23">
            <v>55000</v>
          </cell>
          <cell r="L23">
            <v>44977</v>
          </cell>
          <cell r="M23" t="str">
            <v>医療法人社団仁優会</v>
          </cell>
          <cell r="N23" t="str">
            <v>2023/04/01</v>
          </cell>
          <cell r="O23" t="e">
            <v>#VALUE!</v>
          </cell>
          <cell r="P23" t="e">
            <v>#VALUE!</v>
          </cell>
          <cell r="Q23" t="str">
            <v/>
          </cell>
          <cell r="R23">
            <v>1</v>
          </cell>
          <cell r="S23" t="str">
            <v>#REF!</v>
          </cell>
          <cell r="T23" t="str">
            <v>#REF!</v>
          </cell>
        </row>
        <row r="24">
          <cell r="D24" t="e">
            <v>#VALUE!</v>
          </cell>
          <cell r="E24">
            <v>44977</v>
          </cell>
          <cell r="F24">
            <v>28</v>
          </cell>
          <cell r="G24" t="str">
            <v>仲野整形外科スポーツ・ウェルネスCL様</v>
          </cell>
          <cell r="H24" t="str">
            <v>仲野　靖司</v>
          </cell>
          <cell r="I24" t="e">
            <v>#VALUE!</v>
          </cell>
          <cell r="J24" t="e">
            <v>#VALUE!</v>
          </cell>
          <cell r="K24">
            <v>55000</v>
          </cell>
          <cell r="L24">
            <v>44977</v>
          </cell>
          <cell r="M24"/>
          <cell r="N24" t="str">
            <v>2023/02/13</v>
          </cell>
          <cell r="O24" t="e">
            <v>#VALUE!</v>
          </cell>
          <cell r="P24" t="e">
            <v>#VALUE!</v>
          </cell>
          <cell r="Q24" t="str">
            <v/>
          </cell>
          <cell r="R24">
            <v>1</v>
          </cell>
          <cell r="S24" t="str">
            <v>#REF!</v>
          </cell>
          <cell r="T24" t="str">
            <v>#REF!</v>
          </cell>
        </row>
        <row r="25">
          <cell r="D25" t="str">
            <v>2023DL-0223</v>
          </cell>
          <cell r="E25">
            <v>44978</v>
          </cell>
          <cell r="F25">
            <v>21</v>
          </cell>
          <cell r="G25" t="str">
            <v>人形町整形ペインリハビリテーションCL様</v>
          </cell>
          <cell r="H25" t="str">
            <v>戸田　繁
（とだ　しげる）</v>
          </cell>
          <cell r="I25" t="e">
            <v>#VALUE!</v>
          </cell>
          <cell r="J25" t="e">
            <v>#VALUE!</v>
          </cell>
          <cell r="K25">
            <v>55000</v>
          </cell>
          <cell r="L25">
            <v>44978</v>
          </cell>
          <cell r="M25"/>
          <cell r="N25" t="str">
            <v>2023/02/01</v>
          </cell>
          <cell r="O25" t="e">
            <v>#VALUE!</v>
          </cell>
          <cell r="P25" t="e">
            <v>#VALUE!</v>
          </cell>
          <cell r="Q25" t="str">
            <v/>
          </cell>
          <cell r="R25">
            <v>1</v>
          </cell>
          <cell r="S25" t="str">
            <v>#REF!</v>
          </cell>
          <cell r="T25" t="str">
            <v>#REF!</v>
          </cell>
        </row>
        <row r="26">
          <cell r="D26" t="e">
            <v>#VALUE!</v>
          </cell>
          <cell r="E26">
            <v>44985</v>
          </cell>
          <cell r="F26">
            <v>31</v>
          </cell>
          <cell r="G26" t="str">
            <v>浅井診療所様</v>
          </cell>
          <cell r="H26" t="str">
            <v>浅井　靖
（あさい　やすし）</v>
          </cell>
          <cell r="I26" t="e">
            <v>#VALUE!</v>
          </cell>
          <cell r="J26" t="e">
            <v>#VALUE!</v>
          </cell>
          <cell r="K26">
            <v>55000</v>
          </cell>
          <cell r="L26">
            <v>44985</v>
          </cell>
          <cell r="M26"/>
          <cell r="N26" t="str">
            <v>2023/03/01</v>
          </cell>
          <cell r="O26" t="e">
            <v>#VALUE!</v>
          </cell>
          <cell r="P26" t="e">
            <v>#VALUE!</v>
          </cell>
          <cell r="Q26" t="str">
            <v/>
          </cell>
          <cell r="R26">
            <v>1</v>
          </cell>
          <cell r="S26" t="str">
            <v>#REF!</v>
          </cell>
          <cell r="T26" t="str">
            <v>#REF!</v>
          </cell>
        </row>
        <row r="27">
          <cell r="D27" t="e">
            <v>#VALUE!</v>
          </cell>
          <cell r="E27">
            <v>44985</v>
          </cell>
          <cell r="F27">
            <v>30</v>
          </cell>
          <cell r="G27" t="str">
            <v>永井整形外科医院様</v>
          </cell>
          <cell r="H27" t="str">
            <v>永井　新二</v>
          </cell>
          <cell r="I27" t="e">
            <v>#VALUE!</v>
          </cell>
          <cell r="J27" t="e">
            <v>#VALUE!</v>
          </cell>
          <cell r="K27">
            <v>55000</v>
          </cell>
          <cell r="L27">
            <v>44985</v>
          </cell>
          <cell r="M27"/>
          <cell r="N27" t="str">
            <v>2023/02/21</v>
          </cell>
          <cell r="O27" t="e">
            <v>#VALUE!</v>
          </cell>
          <cell r="P27" t="e">
            <v>#VALUE!</v>
          </cell>
          <cell r="Q27" t="str">
            <v/>
          </cell>
          <cell r="R27">
            <v>1</v>
          </cell>
          <cell r="S27" t="str">
            <v>#REF!</v>
          </cell>
          <cell r="T27" t="str">
            <v>#REF!</v>
          </cell>
        </row>
        <row r="28">
          <cell r="D28" t="e">
            <v>#VALUE!</v>
          </cell>
          <cell r="E28">
            <v>44998</v>
          </cell>
          <cell r="F28">
            <v>34</v>
          </cell>
          <cell r="G28" t="str">
            <v>かとう整形外科スポーツ運動器クリニック様</v>
          </cell>
          <cell r="H28" t="str">
            <v>加藤　寿陽</v>
          </cell>
          <cell r="I28" t="e">
            <v>#VALUE!</v>
          </cell>
          <cell r="J28" t="e">
            <v>#VALUE!</v>
          </cell>
          <cell r="K28">
            <v>55000</v>
          </cell>
          <cell r="L28">
            <v>44998</v>
          </cell>
          <cell r="M28"/>
          <cell r="N28" t="str">
            <v>2023/02/27</v>
          </cell>
          <cell r="O28" t="e">
            <v>#VALUE!</v>
          </cell>
          <cell r="P28" t="e">
            <v>#VALUE!</v>
          </cell>
          <cell r="Q28" t="str">
            <v/>
          </cell>
          <cell r="R28">
            <v>1</v>
          </cell>
          <cell r="S28" t="str">
            <v>#REF!</v>
          </cell>
          <cell r="T28" t="str">
            <v>#REF!</v>
          </cell>
        </row>
        <row r="29">
          <cell r="D29" t="e">
            <v>#VALUE!</v>
          </cell>
          <cell r="E29">
            <v>45009</v>
          </cell>
          <cell r="F29">
            <v>37</v>
          </cell>
          <cell r="G29" t="str">
            <v>新中野整形外科・リハビリテーションCL様</v>
          </cell>
          <cell r="H29" t="str">
            <v>岡部　高弘</v>
          </cell>
          <cell r="I29" t="e">
            <v>#VALUE!</v>
          </cell>
          <cell r="J29" t="e">
            <v>#VALUE!</v>
          </cell>
          <cell r="K29">
            <v>55000</v>
          </cell>
          <cell r="L29">
            <v>45009</v>
          </cell>
          <cell r="M29"/>
          <cell r="N29" t="e">
            <v>#VALUE!</v>
          </cell>
          <cell r="O29" t="e">
            <v>#VALUE!</v>
          </cell>
          <cell r="P29" t="e">
            <v>#VALUE!</v>
          </cell>
          <cell r="Q29" t="str">
            <v/>
          </cell>
          <cell r="R29">
            <v>1</v>
          </cell>
          <cell r="S29" t="str">
            <v>#REF!</v>
          </cell>
          <cell r="T29" t="str">
            <v>#REF!</v>
          </cell>
        </row>
        <row r="30">
          <cell r="D30" t="e">
            <v>#VALUE!</v>
          </cell>
          <cell r="E30">
            <v>45009</v>
          </cell>
          <cell r="F30">
            <v>33</v>
          </cell>
          <cell r="G30" t="str">
            <v>社会医療法人　鴻仁会　岡山中央病院様</v>
          </cell>
          <cell r="H30" t="str">
            <v>小林　浩之</v>
          </cell>
          <cell r="I30" t="e">
            <v>#VALUE!</v>
          </cell>
          <cell r="J30" t="e">
            <v>#VALUE!</v>
          </cell>
          <cell r="K30">
            <v>55000</v>
          </cell>
          <cell r="L30">
            <v>45009</v>
          </cell>
          <cell r="M30"/>
          <cell r="N30" t="str">
            <v>2023/04/01</v>
          </cell>
          <cell r="O30" t="e">
            <v>#VALUE!</v>
          </cell>
          <cell r="P30" t="e">
            <v>#VALUE!</v>
          </cell>
          <cell r="Q30" t="str">
            <v/>
          </cell>
          <cell r="R30">
            <v>1</v>
          </cell>
          <cell r="S30" t="str">
            <v>#REF!</v>
          </cell>
          <cell r="T30" t="str">
            <v>#REF!</v>
          </cell>
        </row>
        <row r="31">
          <cell r="D31" t="e">
            <v>#VALUE!</v>
          </cell>
          <cell r="E31">
            <v>45009</v>
          </cell>
          <cell r="F31">
            <v>38</v>
          </cell>
          <cell r="G31" t="str">
            <v>花園整形外科内科様</v>
          </cell>
          <cell r="H31" t="str">
            <v>佐村　敦義</v>
          </cell>
          <cell r="I31" t="e">
            <v>#VALUE!</v>
          </cell>
          <cell r="J31" t="e">
            <v>#VALUE!</v>
          </cell>
          <cell r="K31">
            <v>55000</v>
          </cell>
          <cell r="L31">
            <v>45009</v>
          </cell>
          <cell r="M31"/>
          <cell r="N31" t="str">
            <v>2023/04/01</v>
          </cell>
          <cell r="O31" t="e">
            <v>#VALUE!</v>
          </cell>
          <cell r="P31" t="e">
            <v>#VALUE!</v>
          </cell>
          <cell r="Q31" t="str">
            <v/>
          </cell>
          <cell r="R31">
            <v>1</v>
          </cell>
          <cell r="S31" t="str">
            <v>#REF!</v>
          </cell>
          <cell r="T31" t="str">
            <v>#REF!</v>
          </cell>
        </row>
        <row r="32">
          <cell r="D32" t="e">
            <v>#VALUE!</v>
          </cell>
          <cell r="E32">
            <v>45012</v>
          </cell>
          <cell r="F32">
            <v>40</v>
          </cell>
          <cell r="G32" t="str">
            <v>平田整形外科クリニック様</v>
          </cell>
          <cell r="H32" t="str">
            <v>平田　淳作</v>
          </cell>
          <cell r="I32" t="e">
            <v>#VALUE!</v>
          </cell>
          <cell r="J32" t="e">
            <v>#VALUE!</v>
          </cell>
          <cell r="K32">
            <v>55000</v>
          </cell>
          <cell r="L32">
            <v>45012</v>
          </cell>
          <cell r="M32"/>
          <cell r="N32" t="e">
            <v>#VALUE!</v>
          </cell>
          <cell r="O32" t="e">
            <v>#VALUE!</v>
          </cell>
          <cell r="P32" t="e">
            <v>#VALUE!</v>
          </cell>
          <cell r="Q32" t="str">
            <v/>
          </cell>
          <cell r="R32">
            <v>1</v>
          </cell>
          <cell r="S32" t="str">
            <v>#REF!</v>
          </cell>
          <cell r="T32" t="str">
            <v>#REF!</v>
          </cell>
        </row>
        <row r="33">
          <cell r="D33" t="e">
            <v>#VALUE!</v>
          </cell>
          <cell r="E33">
            <v>45013</v>
          </cell>
          <cell r="F33">
            <v>19</v>
          </cell>
          <cell r="G33" t="str">
            <v>小山整形外科内科クリニック様</v>
          </cell>
          <cell r="H33" t="str">
            <v>笹原　潤　理事長小黒賢二</v>
          </cell>
          <cell r="I33" t="e">
            <v>#VALUE!</v>
          </cell>
          <cell r="J33" t="e">
            <v>#VALUE!</v>
          </cell>
          <cell r="K33">
            <v>55000</v>
          </cell>
          <cell r="L33">
            <v>45013</v>
          </cell>
          <cell r="M33"/>
          <cell r="N33" t="str">
            <v>2023/02/01</v>
          </cell>
          <cell r="O33" t="e">
            <v>#VALUE!</v>
          </cell>
          <cell r="P33" t="e">
            <v>#VALUE!</v>
          </cell>
          <cell r="Q33" t="str">
            <v/>
          </cell>
          <cell r="R33">
            <v>1</v>
          </cell>
          <cell r="S33" t="str">
            <v>#REF!</v>
          </cell>
          <cell r="T33" t="str">
            <v>#REF!</v>
          </cell>
        </row>
        <row r="34">
          <cell r="D34" t="e">
            <v>#VALUE!</v>
          </cell>
          <cell r="E34">
            <v>45013</v>
          </cell>
          <cell r="F34">
            <v>24</v>
          </cell>
          <cell r="G34" t="str">
            <v>はく整形外科運動器エコークリニック様</v>
          </cell>
          <cell r="H34" t="str">
            <v>白　勝</v>
          </cell>
          <cell r="I34" t="e">
            <v>#VALUE!</v>
          </cell>
          <cell r="J34" t="e">
            <v>#VALUE!</v>
          </cell>
          <cell r="K34">
            <v>55000</v>
          </cell>
          <cell r="L34">
            <v>45013</v>
          </cell>
          <cell r="M34"/>
          <cell r="N34" t="str">
            <v>2023/02/09</v>
          </cell>
          <cell r="O34" t="e">
            <v>#VALUE!</v>
          </cell>
          <cell r="P34" t="e">
            <v>#VALUE!</v>
          </cell>
          <cell r="Q34" t="str">
            <v/>
          </cell>
          <cell r="R34">
            <v>1</v>
          </cell>
          <cell r="S34" t="str">
            <v>#REF!</v>
          </cell>
          <cell r="T34" t="str">
            <v>#REF!</v>
          </cell>
        </row>
        <row r="35">
          <cell r="D35" t="e">
            <v>#VALUE!</v>
          </cell>
          <cell r="E35">
            <v>45013</v>
          </cell>
          <cell r="F35">
            <v>25</v>
          </cell>
          <cell r="G35" t="str">
            <v>狛江はく整形外科様</v>
          </cell>
          <cell r="H35" t="str">
            <v>加藤　基樹</v>
          </cell>
          <cell r="I35" t="e">
            <v>#VALUE!</v>
          </cell>
          <cell r="J35" t="e">
            <v>#VALUE!</v>
          </cell>
          <cell r="K35">
            <v>55000</v>
          </cell>
          <cell r="L35">
            <v>45013</v>
          </cell>
          <cell r="M35"/>
          <cell r="N35" t="str">
            <v>2023/02/09</v>
          </cell>
          <cell r="O35" t="e">
            <v>#VALUE!</v>
          </cell>
          <cell r="P35" t="e">
            <v>#VALUE!</v>
          </cell>
          <cell r="Q35" t="str">
            <v/>
          </cell>
          <cell r="R35">
            <v>1</v>
          </cell>
          <cell r="S35" t="str">
            <v>#REF!</v>
          </cell>
          <cell r="T35" t="str">
            <v>#REF!</v>
          </cell>
        </row>
        <row r="36">
          <cell r="D36" t="e">
            <v>#VALUE!</v>
          </cell>
          <cell r="E36">
            <v>45020</v>
          </cell>
          <cell r="F36">
            <v>39</v>
          </cell>
          <cell r="G36" t="str">
            <v>稲城平尾整形外科クリニック様</v>
          </cell>
          <cell r="H36" t="str">
            <v>大野　達朗</v>
          </cell>
          <cell r="I36" t="e">
            <v>#VALUE!</v>
          </cell>
          <cell r="J36" t="e">
            <v>#VALUE!</v>
          </cell>
          <cell r="K36">
            <v>55000</v>
          </cell>
          <cell r="L36">
            <v>45020</v>
          </cell>
          <cell r="M36"/>
          <cell r="N36" t="str">
            <v>2023/04/01</v>
          </cell>
          <cell r="O36" t="e">
            <v>#VALUE!</v>
          </cell>
          <cell r="P36" t="e">
            <v>#VALUE!</v>
          </cell>
          <cell r="Q36" t="str">
            <v/>
          </cell>
          <cell r="R36">
            <v>1</v>
          </cell>
          <cell r="S36" t="str">
            <v>#REF!</v>
          </cell>
          <cell r="T36" t="str">
            <v>#REF!</v>
          </cell>
        </row>
        <row r="37">
          <cell r="D37" t="str">
            <v>2023DL-0435</v>
          </cell>
          <cell r="E37">
            <v>45022</v>
          </cell>
          <cell r="F37">
            <v>42</v>
          </cell>
          <cell r="G37" t="str">
            <v>医療法人弘和会　松田整形外科医院様</v>
          </cell>
          <cell r="H37" t="str">
            <v>松田　虎洋</v>
          </cell>
          <cell r="I37" t="e">
            <v>#VALUE!</v>
          </cell>
          <cell r="J37" t="e">
            <v>#VALUE!</v>
          </cell>
          <cell r="K37">
            <v>55000</v>
          </cell>
          <cell r="L37">
            <v>45022</v>
          </cell>
          <cell r="M37"/>
          <cell r="N37" t="str">
            <v>2023/04/01</v>
          </cell>
          <cell r="O37" t="e">
            <v>#VALUE!</v>
          </cell>
          <cell r="P37" t="e">
            <v>#VALUE!</v>
          </cell>
          <cell r="Q37" t="str">
            <v/>
          </cell>
          <cell r="R37">
            <v>1</v>
          </cell>
          <cell r="S37" t="str">
            <v>#REF!</v>
          </cell>
          <cell r="T37" t="str">
            <v>#REF!</v>
          </cell>
        </row>
        <row r="38">
          <cell r="D38" t="e">
            <v>#VALUE!</v>
          </cell>
          <cell r="E38">
            <v>45027</v>
          </cell>
          <cell r="F38">
            <v>32</v>
          </cell>
          <cell r="G38" t="str">
            <v>おおしま整形外科様</v>
          </cell>
          <cell r="H38" t="str">
            <v>大嶋　直人</v>
          </cell>
          <cell r="I38" t="e">
            <v>#VALUE!</v>
          </cell>
          <cell r="J38" t="e">
            <v>#VALUE!</v>
          </cell>
          <cell r="K38">
            <v>55000</v>
          </cell>
          <cell r="L38">
            <v>45027</v>
          </cell>
          <cell r="M38"/>
          <cell r="N38" t="str">
            <v>2023/02/17</v>
          </cell>
          <cell r="O38" t="e">
            <v>#VALUE!</v>
          </cell>
          <cell r="P38" t="e">
            <v>#VALUE!</v>
          </cell>
          <cell r="Q38" t="str">
            <v/>
          </cell>
          <cell r="R38">
            <v>1</v>
          </cell>
          <cell r="S38" t="str">
            <v>#REF!</v>
          </cell>
          <cell r="T38" t="str">
            <v>#REF!</v>
          </cell>
        </row>
        <row r="39">
          <cell r="D39" t="e">
            <v>#VALUE!</v>
          </cell>
          <cell r="E39">
            <v>45027</v>
          </cell>
          <cell r="F39">
            <v>43</v>
          </cell>
          <cell r="G39" t="str">
            <v>医療法人社団　佐藤整形外科様</v>
          </cell>
          <cell r="H39" t="str">
            <v>理事長　千代倉　吉宏
院長　有馬　敏彦</v>
          </cell>
          <cell r="I39" t="e">
            <v>#VALUE!</v>
          </cell>
          <cell r="J39" t="e">
            <v>#VALUE!</v>
          </cell>
          <cell r="K39">
            <v>55000</v>
          </cell>
          <cell r="L39">
            <v>45027</v>
          </cell>
          <cell r="M39"/>
          <cell r="N39" t="str">
            <v>2023/04/01</v>
          </cell>
          <cell r="O39" t="e">
            <v>#VALUE!</v>
          </cell>
          <cell r="P39" t="e">
            <v>#VALUE!</v>
          </cell>
          <cell r="Q39" t="str">
            <v/>
          </cell>
          <cell r="R39">
            <v>1</v>
          </cell>
          <cell r="S39" t="str">
            <v>#REF!</v>
          </cell>
          <cell r="T39" t="str">
            <v>#REF!</v>
          </cell>
        </row>
        <row r="40">
          <cell r="D40" t="e">
            <v>#VALUE!</v>
          </cell>
          <cell r="E40">
            <v>45033</v>
          </cell>
          <cell r="F40">
            <v>44</v>
          </cell>
          <cell r="G40" t="str">
            <v>医療法人弘仁会　かもいクリニック様</v>
          </cell>
          <cell r="H40" t="str">
            <v>鴨居　史樹</v>
          </cell>
          <cell r="I40" t="e">
            <v>#VALUE!</v>
          </cell>
          <cell r="J40" t="e">
            <v>#VALUE!</v>
          </cell>
          <cell r="K40">
            <v>55000</v>
          </cell>
          <cell r="L40">
            <v>45033</v>
          </cell>
          <cell r="M40"/>
          <cell r="N40" t="str">
            <v>2023/04/01</v>
          </cell>
          <cell r="O40" t="e">
            <v>#VALUE!</v>
          </cell>
          <cell r="P40" t="e">
            <v>#VALUE!</v>
          </cell>
          <cell r="Q40" t="str">
            <v/>
          </cell>
          <cell r="R40">
            <v>1</v>
          </cell>
          <cell r="S40" t="str">
            <v>#REF!</v>
          </cell>
          <cell r="T40" t="str">
            <v>#REF!</v>
          </cell>
        </row>
        <row r="41">
          <cell r="D41" t="e">
            <v>#VALUE!</v>
          </cell>
          <cell r="E41">
            <v>45046</v>
          </cell>
          <cell r="F41">
            <v>41</v>
          </cell>
          <cell r="G41" t="str">
            <v>豊田土橋リウマチクリニック様</v>
          </cell>
          <cell r="H41" t="str">
            <v>高杉　浩司
（たかすぎ　こうじ）</v>
          </cell>
          <cell r="I41" t="e">
            <v>#VALUE!</v>
          </cell>
          <cell r="J41" t="e">
            <v>#VALUE!</v>
          </cell>
          <cell r="K41">
            <v>55000</v>
          </cell>
          <cell r="L41">
            <v>45068</v>
          </cell>
          <cell r="M41"/>
          <cell r="N41" t="str">
            <v>2023/04/01</v>
          </cell>
          <cell r="O41" t="e">
            <v>#VALUE!</v>
          </cell>
          <cell r="P41" t="e">
            <v>#VALUE!</v>
          </cell>
          <cell r="Q41" t="str">
            <v/>
          </cell>
          <cell r="R41">
            <v>1</v>
          </cell>
          <cell r="S41" t="str">
            <v>#REF!</v>
          </cell>
          <cell r="T41" t="str">
            <v>#REF!</v>
          </cell>
        </row>
        <row r="42">
          <cell r="D42" t="str">
            <v>2023DL-0540</v>
          </cell>
          <cell r="E42">
            <v>45077</v>
          </cell>
          <cell r="F42">
            <v>47</v>
          </cell>
          <cell r="G42" t="str">
            <v>清泉クリニック整形外科内科鹿児島様</v>
          </cell>
          <cell r="H42" t="str">
            <v>島田　隆太郎</v>
          </cell>
          <cell r="I42" t="e">
            <v>#VALUE!</v>
          </cell>
          <cell r="J42" t="e">
            <v>#VALUE!</v>
          </cell>
          <cell r="K42">
            <v>55000</v>
          </cell>
          <cell r="L42">
            <v>45089</v>
          </cell>
          <cell r="M42"/>
          <cell r="N42" t="str">
            <v>2023/04/15</v>
          </cell>
          <cell r="O42" t="e">
            <v>#VALUE!</v>
          </cell>
          <cell r="P42" t="e">
            <v>#VALUE!</v>
          </cell>
          <cell r="Q42" t="str">
            <v/>
          </cell>
          <cell r="R42">
            <v>1</v>
          </cell>
          <cell r="S42" t="str">
            <v>#REF!</v>
          </cell>
          <cell r="T42" t="str">
            <v>#REF!</v>
          </cell>
        </row>
        <row r="43">
          <cell r="D43" t="e">
            <v>#VALUE!</v>
          </cell>
          <cell r="E43">
            <v>45077</v>
          </cell>
          <cell r="F43">
            <v>48</v>
          </cell>
          <cell r="G43" t="str">
            <v>池田整形外科リハビリテーションCL様</v>
          </cell>
          <cell r="H43" t="str">
            <v>池田　昌樹</v>
          </cell>
          <cell r="I43" t="e">
            <v>#VALUE!</v>
          </cell>
          <cell r="J43" t="e">
            <v>#VALUE!</v>
          </cell>
          <cell r="K43">
            <v>55000</v>
          </cell>
          <cell r="L43">
            <v>45044</v>
          </cell>
          <cell r="M43"/>
          <cell r="N43" t="e">
            <v>#VALUE!</v>
          </cell>
          <cell r="O43" t="e">
            <v>#VALUE!</v>
          </cell>
          <cell r="P43" t="e">
            <v>#VALUE!</v>
          </cell>
          <cell r="Q43" t="str">
            <v/>
          </cell>
          <cell r="R43">
            <v>1</v>
          </cell>
          <cell r="S43" t="str">
            <v>#REF!</v>
          </cell>
          <cell r="T43" t="str">
            <v>#REF!</v>
          </cell>
        </row>
      </sheetData>
      <sheetData sheetId="4">
        <row r="1">
          <cell r="B1" t="str">
            <v>2026DL-05442</v>
          </cell>
        </row>
      </sheetData>
      <sheetData sheetId="5"/>
      <sheetData sheetId="6" refreshError="1"/>
      <sheetData sheetId="7" refreshError="1"/>
      <sheetData sheetId="8" refreshError="1"/>
    </sheetDataSet>
  </externalBook>
</externalLink>
</file>

<file path=xl/persons/person.xml><?xml version="1.0" encoding="utf-8"?>
<personList xmlns="http://schemas.microsoft.com/office/spreadsheetml/2018/threadedcomments" xmlns:x="http://schemas.openxmlformats.org/spreadsheetml/2006/main">
  <person displayName="笠島久瑠美" id="{F8D0B1B8-7C2E-497C-BF0A-AB5DD9616315}" userId="" providerId="google-sheets"/>
</personList>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8" dT="2025-05-16T02:53:42.00" personId="{F8D0B1B8-7C2E-497C-BF0A-AB5DD9616315}" id="{D44FFBC6-8D88-4525-886F-FDD11260A915}">
    <text>🟥手入力で編集🟥</text>
  </threadedComment>
  <threadedComment ref="F22" dT="2025-03-13T07:20:27.00" personId="{F8D0B1B8-7C2E-497C-BF0A-AB5DD9616315}" id="{598F001B-358D-40E2-B3E4-7D31E08184E7}">
    <text>手打ち</text>
  </threadedComment>
</ThreadedComments>
</file>

<file path=xl/worksheets/_rels/sheet1.xml.rels><?xml version="1.0" encoding="UTF-8" standalone="yes"?>
<Relationships xmlns="http://schemas.openxmlformats.org/package/2006/relationships"><Relationship Id="rId8" Type="http://schemas.openxmlformats.org/officeDocument/2006/relationships/hyperlink" Target="mailto:longnew2@me.com" TargetMode="External"/><Relationship Id="rId13" Type="http://schemas.openxmlformats.org/officeDocument/2006/relationships/hyperlink" Target="mailto:takashitaira28@yahoo.co.jp" TargetMode="External"/><Relationship Id="rId18" Type="http://schemas.openxmlformats.org/officeDocument/2006/relationships/hyperlink" Target="mailto:k-horimoto@cuc-jpn.com" TargetMode="External"/><Relationship Id="rId26" Type="http://schemas.openxmlformats.org/officeDocument/2006/relationships/hyperlink" Target="mailto:nobu4199@gmail.com" TargetMode="External"/><Relationship Id="rId39" Type="http://schemas.openxmlformats.org/officeDocument/2006/relationships/hyperlink" Target="mailto:daiseikei24@gmail.com" TargetMode="External"/><Relationship Id="rId3" Type="http://schemas.openxmlformats.org/officeDocument/2006/relationships/hyperlink" Target="mailto:imada-dr@lifeathlete.or.jp" TargetMode="External"/><Relationship Id="rId21" Type="http://schemas.openxmlformats.org/officeDocument/2006/relationships/hyperlink" Target="mailto:matsudaorthopain16@gmail.com" TargetMode="External"/><Relationship Id="rId34" Type="http://schemas.openxmlformats.org/officeDocument/2006/relationships/hyperlink" Target="mailto:yygaziduh@yahoo.co.jp" TargetMode="External"/><Relationship Id="rId42" Type="http://schemas.openxmlformats.org/officeDocument/2006/relationships/hyperlink" Target="mailto:n.shoichi0518@gmail.com%20" TargetMode="External"/><Relationship Id="rId47" Type="http://schemas.openxmlformats.org/officeDocument/2006/relationships/comments" Target="../comments1.xml"/><Relationship Id="rId7" Type="http://schemas.openxmlformats.org/officeDocument/2006/relationships/hyperlink" Target="mailto:nishikuniseikei.2019@gmail.com" TargetMode="External"/><Relationship Id="rId12" Type="http://schemas.openxmlformats.org/officeDocument/2006/relationships/hyperlink" Target="mailto:coba1012@yahoo.co.jp" TargetMode="External"/><Relationship Id="rId17" Type="http://schemas.openxmlformats.org/officeDocument/2006/relationships/hyperlink" Target="mailto:kyohclinic.sec@gmail.com" TargetMode="External"/><Relationship Id="rId25" Type="http://schemas.openxmlformats.org/officeDocument/2006/relationships/hyperlink" Target="mailto:sagital67ge@gmail.com" TargetMode="External"/><Relationship Id="rId33" Type="http://schemas.openxmlformats.org/officeDocument/2006/relationships/hyperlink" Target="mailto:fumiki.kamoi@kamoiclinic.org" TargetMode="External"/><Relationship Id="rId38" Type="http://schemas.openxmlformats.org/officeDocument/2006/relationships/hyperlink" Target="mailto:miyata_s_k@yahoo.co.jp&#12288;" TargetMode="External"/><Relationship Id="rId46" Type="http://schemas.openxmlformats.org/officeDocument/2006/relationships/vmlDrawing" Target="../drawings/vmlDrawing1.vml"/><Relationship Id="rId2" Type="http://schemas.openxmlformats.org/officeDocument/2006/relationships/hyperlink" Target="mailto:y-ishibashi@oyamaseikeigekanaika.jp" TargetMode="External"/><Relationship Id="rId16" Type="http://schemas.openxmlformats.org/officeDocument/2006/relationships/hyperlink" Target="mailto:yamadayuuko1969@gmail.com" TargetMode="External"/><Relationship Id="rId20" Type="http://schemas.openxmlformats.org/officeDocument/2006/relationships/hyperlink" Target="mailto:iwtbagdtk@gmail.com" TargetMode="External"/><Relationship Id="rId29" Type="http://schemas.openxmlformats.org/officeDocument/2006/relationships/hyperlink" Target="mailto:s.u50291201@icloud.com" TargetMode="External"/><Relationship Id="rId41" Type="http://schemas.openxmlformats.org/officeDocument/2006/relationships/hyperlink" Target="mailto:hkenh@coral.ocn.ne.jp%20" TargetMode="External"/><Relationship Id="rId1" Type="http://schemas.openxmlformats.org/officeDocument/2006/relationships/hyperlink" Target="mailto:ukukapr28@gmail.com" TargetMode="External"/><Relationship Id="rId6" Type="http://schemas.openxmlformats.org/officeDocument/2006/relationships/hyperlink" Target="mailto:ueshima1@yahoo.co.jp" TargetMode="External"/><Relationship Id="rId11" Type="http://schemas.openxmlformats.org/officeDocument/2006/relationships/hyperlink" Target="mailto:naokun7010@mac.com" TargetMode="External"/><Relationship Id="rId24" Type="http://schemas.openxmlformats.org/officeDocument/2006/relationships/hyperlink" Target="mailto:saki.motozuka.1991@gmail.com" TargetMode="External"/><Relationship Id="rId32" Type="http://schemas.openxmlformats.org/officeDocument/2006/relationships/hyperlink" Target="mailto:kaz.mur26@gmail.com" TargetMode="External"/><Relationship Id="rId37" Type="http://schemas.openxmlformats.org/officeDocument/2006/relationships/hyperlink" Target="mailto:a_samura@yahoo.co.jp" TargetMode="External"/><Relationship Id="rId40" Type="http://schemas.openxmlformats.org/officeDocument/2006/relationships/hyperlink" Target="mailto:sorakira926@icloud.com" TargetMode="External"/><Relationship Id="rId45" Type="http://schemas.openxmlformats.org/officeDocument/2006/relationships/hyperlink" Target="https://www.nms.ac.jp/hosp.html" TargetMode="External"/><Relationship Id="rId5" Type="http://schemas.openxmlformats.org/officeDocument/2006/relationships/hyperlink" Target="mailto:mottydec12cbr1000rr@yahoo.co.jp" TargetMode="External"/><Relationship Id="rId15" Type="http://schemas.openxmlformats.org/officeDocument/2006/relationships/hyperlink" Target="mailto:nmfpj361@gmail.com" TargetMode="External"/><Relationship Id="rId23" Type="http://schemas.openxmlformats.org/officeDocument/2006/relationships/hyperlink" Target="mailto:kazuki.morizane@gmail.com" TargetMode="External"/><Relationship Id="rId28" Type="http://schemas.openxmlformats.org/officeDocument/2006/relationships/hyperlink" Target="mailto:yoko.shimizu12@gmail.com" TargetMode="External"/><Relationship Id="rId36" Type="http://schemas.openxmlformats.org/officeDocument/2006/relationships/hyperlink" Target="mailto:administrator@inagihirao-seikei.clinic" TargetMode="External"/><Relationship Id="rId10" Type="http://schemas.openxmlformats.org/officeDocument/2006/relationships/hyperlink" Target="mailto:tanikake61@yahoo.co.jp" TargetMode="External"/><Relationship Id="rId19" Type="http://schemas.openxmlformats.org/officeDocument/2006/relationships/hyperlink" Target="mailto:massa.tokaisoccer0318@gmail.com" TargetMode="External"/><Relationship Id="rId31" Type="http://schemas.openxmlformats.org/officeDocument/2006/relationships/hyperlink" Target="mailto:yoshiya3721@abox3.so-net.ne.jp" TargetMode="External"/><Relationship Id="rId44" Type="http://schemas.openxmlformats.org/officeDocument/2006/relationships/hyperlink" Target="mailto:ahorie@shimokitazawa-hp.or.jp" TargetMode="External"/><Relationship Id="rId4" Type="http://schemas.openxmlformats.org/officeDocument/2006/relationships/hyperlink" Target="mailto:katsuhaku@gmail.com" TargetMode="External"/><Relationship Id="rId9" Type="http://schemas.openxmlformats.org/officeDocument/2006/relationships/hyperlink" Target="mailto:yurigaso-wada@docomo.ne.jp" TargetMode="External"/><Relationship Id="rId14" Type="http://schemas.openxmlformats.org/officeDocument/2006/relationships/hyperlink" Target="mailto:yasuyoshi.mase@gmail.com" TargetMode="External"/><Relationship Id="rId22" Type="http://schemas.openxmlformats.org/officeDocument/2006/relationships/hyperlink" Target="mailto:t08narita01@dream.com" TargetMode="External"/><Relationship Id="rId27" Type="http://schemas.openxmlformats.org/officeDocument/2006/relationships/hyperlink" Target="mailto:cardioversionist@gmail.com" TargetMode="External"/><Relationship Id="rId30" Type="http://schemas.openxmlformats.org/officeDocument/2006/relationships/hyperlink" Target="mailto:takanori.k.1882@gmail.com" TargetMode="External"/><Relationship Id="rId35" Type="http://schemas.openxmlformats.org/officeDocument/2006/relationships/hyperlink" Target="mailto:matsudaorthopain16@gmail.com" TargetMode="External"/><Relationship Id="rId43" Type="http://schemas.openxmlformats.org/officeDocument/2006/relationships/hyperlink" Target="mailto:yuwakai0210@gmail.com" TargetMode="Externa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241443-2F33-47E7-A30A-4CF1A6F8BD97}">
  <sheetPr codeName="Sheet1"/>
  <dimension ref="A1:AB209"/>
  <sheetViews>
    <sheetView tabSelected="1" zoomScaleNormal="100" workbookViewId="0">
      <pane xSplit="3" ySplit="2" topLeftCell="D3" activePane="bottomRight" state="frozen"/>
      <selection pane="topRight" activeCell="E1" sqref="E1"/>
      <selection pane="bottomLeft" activeCell="A2" sqref="A2"/>
      <selection pane="bottomRight" activeCell="C4" sqref="C4"/>
    </sheetView>
  </sheetViews>
  <sheetFormatPr defaultColWidth="65.6328125" defaultRowHeight="12.5"/>
  <cols>
    <col min="1" max="1" width="4.90625" bestFit="1" customWidth="1"/>
    <col min="2" max="2" width="8.81640625" bestFit="1" customWidth="1"/>
    <col min="3" max="3" width="56.1796875" bestFit="1" customWidth="1"/>
    <col min="4" max="4" width="10.81640625" bestFit="1" customWidth="1"/>
    <col min="5" max="6" width="8.81640625" bestFit="1" customWidth="1"/>
    <col min="7" max="7" width="15.36328125" bestFit="1" customWidth="1"/>
    <col min="8" max="9" width="8.81640625" bestFit="1" customWidth="1"/>
    <col min="10" max="10" width="10.36328125" style="17" bestFit="1" customWidth="1"/>
    <col min="11" max="11" width="9.81640625" customWidth="1"/>
    <col min="12" max="12" width="9.81640625" bestFit="1" customWidth="1"/>
    <col min="13" max="14" width="40.54296875" customWidth="1"/>
    <col min="15" max="15" width="51" bestFit="1" customWidth="1"/>
    <col min="16" max="16" width="20.1796875" bestFit="1" customWidth="1"/>
    <col min="17" max="17" width="16.08984375" bestFit="1" customWidth="1"/>
    <col min="18" max="18" width="16.08984375" customWidth="1"/>
    <col min="19" max="20" width="40.453125" customWidth="1"/>
    <col min="21" max="21" width="36.6328125" bestFit="1" customWidth="1"/>
    <col min="22" max="22" width="71" customWidth="1"/>
    <col min="23" max="23" width="34.81640625" bestFit="1" customWidth="1"/>
    <col min="24" max="24" width="35.1796875" customWidth="1"/>
    <col min="25" max="25" width="12" bestFit="1" customWidth="1"/>
    <col min="26" max="26" width="20.1796875" hidden="1" customWidth="1"/>
    <col min="27" max="27" width="31.90625" hidden="1" customWidth="1"/>
    <col min="28" max="28" width="76.81640625" hidden="1" customWidth="1"/>
    <col min="29" max="29" width="0" hidden="1" customWidth="1"/>
  </cols>
  <sheetData>
    <row r="1" spans="1:28">
      <c r="Z1" s="7" t="s">
        <v>3090</v>
      </c>
      <c r="AA1" s="7" t="s">
        <v>3090</v>
      </c>
      <c r="AB1" s="7" t="s">
        <v>3090</v>
      </c>
    </row>
    <row r="2" spans="1:28" ht="37.5">
      <c r="A2" s="1" t="s">
        <v>2</v>
      </c>
      <c r="B2" s="1" t="s">
        <v>3506</v>
      </c>
      <c r="C2" t="s">
        <v>3</v>
      </c>
      <c r="D2" s="1" t="s">
        <v>1666</v>
      </c>
      <c r="E2" s="1" t="s">
        <v>1662</v>
      </c>
      <c r="F2" s="1" t="s">
        <v>1663</v>
      </c>
      <c r="G2" s="1" t="s">
        <v>1667</v>
      </c>
      <c r="H2" s="1" t="s">
        <v>1664</v>
      </c>
      <c r="I2" s="1" t="s">
        <v>1665</v>
      </c>
      <c r="J2" s="17" t="s">
        <v>1233</v>
      </c>
      <c r="K2" s="1" t="s">
        <v>1428</v>
      </c>
      <c r="L2" t="s">
        <v>1427</v>
      </c>
      <c r="M2" t="s">
        <v>3091</v>
      </c>
      <c r="N2" t="s">
        <v>3262</v>
      </c>
      <c r="O2" t="s">
        <v>0</v>
      </c>
      <c r="P2" t="s">
        <v>6</v>
      </c>
      <c r="Q2" t="s">
        <v>7</v>
      </c>
      <c r="R2" t="s">
        <v>3328</v>
      </c>
      <c r="S2" t="s">
        <v>3423</v>
      </c>
      <c r="T2" t="s">
        <v>3352</v>
      </c>
      <c r="U2" t="s">
        <v>9</v>
      </c>
      <c r="V2" t="s">
        <v>10</v>
      </c>
      <c r="W2" t="s">
        <v>11</v>
      </c>
      <c r="X2" t="s">
        <v>3437</v>
      </c>
      <c r="Y2" t="s">
        <v>13</v>
      </c>
      <c r="Z2" t="s">
        <v>4</v>
      </c>
      <c r="AA2" t="s">
        <v>3036</v>
      </c>
      <c r="AB2" t="s">
        <v>5</v>
      </c>
    </row>
    <row r="3" spans="1:28" ht="25">
      <c r="A3">
        <v>3</v>
      </c>
      <c r="B3">
        <v>0</v>
      </c>
      <c r="C3" t="s">
        <v>21</v>
      </c>
      <c r="D3" t="s">
        <v>22</v>
      </c>
      <c r="E3" s="1" t="s">
        <v>1429</v>
      </c>
      <c r="F3" t="s">
        <v>1431</v>
      </c>
      <c r="J3" s="18">
        <v>7510806</v>
      </c>
      <c r="K3">
        <v>35</v>
      </c>
      <c r="L3" t="s">
        <v>24</v>
      </c>
      <c r="M3" t="s">
        <v>3092</v>
      </c>
      <c r="N3" s="1"/>
      <c r="O3" t="s">
        <v>25</v>
      </c>
      <c r="P3" t="s">
        <v>26</v>
      </c>
      <c r="Q3" s="10"/>
      <c r="S3" t="s">
        <v>27</v>
      </c>
      <c r="Y3" s="2">
        <v>44782</v>
      </c>
      <c r="Z3" t="s">
        <v>22</v>
      </c>
      <c r="AA3" s="4" t="s">
        <v>23</v>
      </c>
      <c r="AB3" s="1" t="s">
        <v>1235</v>
      </c>
    </row>
    <row r="4" spans="1:28" ht="25">
      <c r="A4">
        <v>4</v>
      </c>
      <c r="B4">
        <v>0</v>
      </c>
      <c r="C4" t="s">
        <v>14</v>
      </c>
      <c r="D4" t="s">
        <v>15</v>
      </c>
      <c r="E4" s="1" t="s">
        <v>1546</v>
      </c>
      <c r="F4" t="s">
        <v>1432</v>
      </c>
      <c r="J4" s="18">
        <v>1820033</v>
      </c>
      <c r="K4">
        <v>13</v>
      </c>
      <c r="L4" t="s">
        <v>16</v>
      </c>
      <c r="M4" t="s">
        <v>3093</v>
      </c>
      <c r="N4" s="1"/>
      <c r="O4" t="s">
        <v>17</v>
      </c>
      <c r="P4" t="s">
        <v>18</v>
      </c>
      <c r="Q4" s="10"/>
      <c r="S4" t="s">
        <v>19</v>
      </c>
      <c r="Y4" s="2">
        <v>44782</v>
      </c>
      <c r="Z4" t="s">
        <v>15</v>
      </c>
      <c r="AA4" s="5" t="s">
        <v>1232</v>
      </c>
      <c r="AB4" s="1" t="s">
        <v>1234</v>
      </c>
    </row>
    <row r="5" spans="1:28" ht="25">
      <c r="A5">
        <v>5</v>
      </c>
      <c r="B5">
        <v>0</v>
      </c>
      <c r="C5" t="s">
        <v>28</v>
      </c>
      <c r="D5" t="s">
        <v>1669</v>
      </c>
      <c r="E5" s="1" t="s">
        <v>1670</v>
      </c>
      <c r="F5" t="s">
        <v>1672</v>
      </c>
      <c r="G5" t="s">
        <v>1668</v>
      </c>
      <c r="H5" s="1" t="s">
        <v>1547</v>
      </c>
      <c r="I5" t="s">
        <v>1433</v>
      </c>
      <c r="J5" s="18">
        <v>8500013</v>
      </c>
      <c r="K5">
        <v>42</v>
      </c>
      <c r="L5" t="s">
        <v>31</v>
      </c>
      <c r="M5" t="s">
        <v>3133</v>
      </c>
      <c r="N5" s="1"/>
      <c r="O5" t="s">
        <v>32</v>
      </c>
      <c r="P5" t="s">
        <v>33</v>
      </c>
      <c r="Q5" s="10"/>
      <c r="S5" t="s">
        <v>34</v>
      </c>
      <c r="Y5" s="2">
        <v>44795</v>
      </c>
      <c r="Z5" t="s">
        <v>1671</v>
      </c>
      <c r="AA5" s="4" t="s">
        <v>30</v>
      </c>
      <c r="AB5" s="1" t="s">
        <v>1236</v>
      </c>
    </row>
    <row r="6" spans="1:28" ht="62.5">
      <c r="A6">
        <v>6</v>
      </c>
      <c r="B6">
        <v>0</v>
      </c>
      <c r="C6" t="s">
        <v>48</v>
      </c>
      <c r="E6" s="1" t="s">
        <v>1548</v>
      </c>
      <c r="F6" t="s">
        <v>1434</v>
      </c>
      <c r="J6" s="18">
        <v>2570035</v>
      </c>
      <c r="K6">
        <v>14</v>
      </c>
      <c r="L6" t="s">
        <v>50</v>
      </c>
      <c r="M6" t="s">
        <v>3134</v>
      </c>
      <c r="N6" s="1"/>
      <c r="O6" t="s">
        <v>51</v>
      </c>
      <c r="P6" t="s">
        <v>52</v>
      </c>
      <c r="Q6" s="11" t="s">
        <v>3330</v>
      </c>
      <c r="R6" s="1" t="s">
        <v>3329</v>
      </c>
      <c r="S6" s="14" t="s">
        <v>3353</v>
      </c>
      <c r="T6" s="1" t="s">
        <v>3354</v>
      </c>
      <c r="Y6" s="2">
        <v>44802</v>
      </c>
      <c r="AA6" s="4" t="s">
        <v>49</v>
      </c>
      <c r="AB6" s="1" t="s">
        <v>1239</v>
      </c>
    </row>
    <row r="7" spans="1:28" ht="25">
      <c r="A7">
        <v>7</v>
      </c>
      <c r="B7">
        <v>0</v>
      </c>
      <c r="C7" t="s">
        <v>67</v>
      </c>
      <c r="D7" t="s">
        <v>15</v>
      </c>
      <c r="E7" s="1" t="s">
        <v>1549</v>
      </c>
      <c r="F7" t="s">
        <v>1435</v>
      </c>
      <c r="J7" s="18">
        <v>5460035</v>
      </c>
      <c r="K7">
        <v>27</v>
      </c>
      <c r="L7" t="s">
        <v>44</v>
      </c>
      <c r="M7" t="s">
        <v>3135</v>
      </c>
      <c r="N7" s="1"/>
      <c r="O7" t="s">
        <v>69</v>
      </c>
      <c r="P7" t="s">
        <v>70</v>
      </c>
      <c r="Q7" s="10" t="s">
        <v>71</v>
      </c>
      <c r="S7" t="s">
        <v>72</v>
      </c>
      <c r="Y7" s="2">
        <v>44802</v>
      </c>
      <c r="Z7" t="s">
        <v>15</v>
      </c>
      <c r="AA7" s="4" t="s">
        <v>68</v>
      </c>
      <c r="AB7" s="1" t="s">
        <v>1242</v>
      </c>
    </row>
    <row r="8" spans="1:28" ht="25">
      <c r="A8">
        <v>8</v>
      </c>
      <c r="B8">
        <v>0</v>
      </c>
      <c r="C8" t="s">
        <v>35</v>
      </c>
      <c r="D8" t="s">
        <v>1673</v>
      </c>
      <c r="E8" s="1" t="s">
        <v>1430</v>
      </c>
      <c r="F8" t="s">
        <v>1674</v>
      </c>
      <c r="G8" t="s">
        <v>1668</v>
      </c>
      <c r="H8" s="1" t="s">
        <v>1430</v>
      </c>
      <c r="I8" t="s">
        <v>1436</v>
      </c>
      <c r="J8" s="18">
        <v>6308441</v>
      </c>
      <c r="K8">
        <v>29</v>
      </c>
      <c r="L8" t="s">
        <v>38</v>
      </c>
      <c r="M8" t="s">
        <v>3094</v>
      </c>
      <c r="N8" s="1"/>
      <c r="O8" t="s">
        <v>39</v>
      </c>
      <c r="P8" t="s">
        <v>40</v>
      </c>
      <c r="Q8" s="10"/>
      <c r="S8" s="14" t="s">
        <v>3370</v>
      </c>
      <c r="T8" s="1" t="s">
        <v>3371</v>
      </c>
      <c r="Y8" s="2">
        <v>44866</v>
      </c>
      <c r="Z8" t="s">
        <v>36</v>
      </c>
      <c r="AA8" t="s">
        <v>37</v>
      </c>
      <c r="AB8" s="1" t="s">
        <v>1237</v>
      </c>
    </row>
    <row r="9" spans="1:28" ht="25">
      <c r="A9">
        <v>9</v>
      </c>
      <c r="B9">
        <v>0</v>
      </c>
      <c r="C9" t="s">
        <v>55</v>
      </c>
      <c r="D9" t="s">
        <v>15</v>
      </c>
      <c r="E9" s="1" t="s">
        <v>1550</v>
      </c>
      <c r="F9" t="s">
        <v>1437</v>
      </c>
      <c r="J9" s="18">
        <v>8700265</v>
      </c>
      <c r="K9">
        <v>44</v>
      </c>
      <c r="L9" t="s">
        <v>57</v>
      </c>
      <c r="M9" t="s">
        <v>3136</v>
      </c>
      <c r="N9" s="1"/>
      <c r="O9" t="s">
        <v>58</v>
      </c>
      <c r="P9" t="s">
        <v>59</v>
      </c>
      <c r="Q9" s="10"/>
      <c r="S9" t="s">
        <v>60</v>
      </c>
      <c r="Y9" s="2">
        <v>44825</v>
      </c>
      <c r="Z9" t="s">
        <v>15</v>
      </c>
      <c r="AA9" t="s">
        <v>56</v>
      </c>
      <c r="AB9" s="1" t="s">
        <v>1240</v>
      </c>
    </row>
    <row r="10" spans="1:28" ht="25">
      <c r="A10">
        <v>10</v>
      </c>
      <c r="B10">
        <v>0</v>
      </c>
      <c r="C10" t="s">
        <v>42</v>
      </c>
      <c r="D10" t="s">
        <v>15</v>
      </c>
      <c r="E10" s="1" t="s">
        <v>1551</v>
      </c>
      <c r="F10" t="s">
        <v>1438</v>
      </c>
      <c r="J10" s="18">
        <v>5730163</v>
      </c>
      <c r="K10">
        <v>27</v>
      </c>
      <c r="L10" t="s">
        <v>44</v>
      </c>
      <c r="M10" t="s">
        <v>3095</v>
      </c>
      <c r="N10" s="1"/>
      <c r="O10" t="s">
        <v>45</v>
      </c>
      <c r="P10" t="s">
        <v>46</v>
      </c>
      <c r="Q10" s="10"/>
      <c r="S10" s="14" t="s">
        <v>3368</v>
      </c>
      <c r="T10" s="1" t="s">
        <v>3369</v>
      </c>
      <c r="Y10" s="2">
        <v>44845</v>
      </c>
      <c r="Z10" t="s">
        <v>15</v>
      </c>
      <c r="AA10" t="s">
        <v>43</v>
      </c>
      <c r="AB10" s="1" t="s">
        <v>1238</v>
      </c>
    </row>
    <row r="11" spans="1:28" ht="25">
      <c r="A11">
        <v>11</v>
      </c>
      <c r="B11">
        <v>0</v>
      </c>
      <c r="C11" t="s">
        <v>61</v>
      </c>
      <c r="D11" t="s">
        <v>15</v>
      </c>
      <c r="E11" s="1" t="s">
        <v>1552</v>
      </c>
      <c r="F11" t="s">
        <v>1439</v>
      </c>
      <c r="J11" s="18">
        <v>4600005</v>
      </c>
      <c r="K11">
        <v>23</v>
      </c>
      <c r="L11" t="s">
        <v>63</v>
      </c>
      <c r="M11" t="s">
        <v>3137</v>
      </c>
      <c r="N11" s="1"/>
      <c r="O11" t="s">
        <v>64</v>
      </c>
      <c r="P11" t="s">
        <v>65</v>
      </c>
      <c r="Q11" s="10"/>
      <c r="S11" t="s">
        <v>66</v>
      </c>
      <c r="Y11" s="2">
        <v>44847</v>
      </c>
      <c r="Z11" t="s">
        <v>15</v>
      </c>
      <c r="AA11" t="s">
        <v>62</v>
      </c>
      <c r="AB11" s="1" t="s">
        <v>1241</v>
      </c>
    </row>
    <row r="12" spans="1:28" ht="25">
      <c r="A12">
        <v>12</v>
      </c>
      <c r="B12">
        <v>0</v>
      </c>
      <c r="C12" t="s">
        <v>78</v>
      </c>
      <c r="D12" t="s">
        <v>15</v>
      </c>
      <c r="E12" s="1" t="s">
        <v>1553</v>
      </c>
      <c r="F12" t="s">
        <v>1440</v>
      </c>
      <c r="J12" s="18">
        <v>4440838</v>
      </c>
      <c r="K12">
        <v>23</v>
      </c>
      <c r="L12" t="s">
        <v>63</v>
      </c>
      <c r="M12" t="s">
        <v>3096</v>
      </c>
      <c r="N12" s="1"/>
      <c r="O12" t="s">
        <v>80</v>
      </c>
      <c r="P12" t="s">
        <v>81</v>
      </c>
      <c r="Q12" s="10"/>
      <c r="S12" t="s">
        <v>82</v>
      </c>
      <c r="Y12" s="2">
        <v>44866</v>
      </c>
      <c r="Z12" t="s">
        <v>15</v>
      </c>
      <c r="AA12" t="s">
        <v>79</v>
      </c>
      <c r="AB12" s="1" t="s">
        <v>1244</v>
      </c>
    </row>
    <row r="13" spans="1:28" ht="32" customHeight="1">
      <c r="A13" s="7">
        <v>13</v>
      </c>
      <c r="B13" s="7">
        <v>1</v>
      </c>
      <c r="C13" s="7" t="s">
        <v>1679</v>
      </c>
      <c r="D13" s="7"/>
      <c r="E13" s="7"/>
      <c r="F13" s="7"/>
      <c r="G13" s="7"/>
      <c r="H13" s="7"/>
      <c r="I13" s="7"/>
      <c r="J13" s="19"/>
      <c r="K13" s="7"/>
      <c r="L13" s="7"/>
      <c r="M13" s="7" t="s">
        <v>1425</v>
      </c>
      <c r="N13" s="8" t="s">
        <v>3478</v>
      </c>
      <c r="O13" s="7"/>
      <c r="P13" s="7"/>
      <c r="Q13" s="12"/>
      <c r="R13" s="7"/>
      <c r="S13" s="7"/>
      <c r="T13" s="7"/>
      <c r="U13" s="7"/>
      <c r="V13" s="7"/>
      <c r="W13" s="7"/>
      <c r="X13" s="7"/>
      <c r="Y13" s="9">
        <v>44849</v>
      </c>
      <c r="Z13" s="7"/>
      <c r="AA13" s="7"/>
      <c r="AB13" s="8"/>
    </row>
    <row r="14" spans="1:28" ht="50">
      <c r="A14" s="7">
        <v>14</v>
      </c>
      <c r="B14" s="7">
        <v>1</v>
      </c>
      <c r="C14" s="7" t="s">
        <v>3502</v>
      </c>
      <c r="D14" s="7"/>
      <c r="E14" s="8" t="s">
        <v>1554</v>
      </c>
      <c r="F14" s="7" t="s">
        <v>1441</v>
      </c>
      <c r="G14" s="7"/>
      <c r="H14" s="7"/>
      <c r="I14" s="7"/>
      <c r="J14" s="19" t="s">
        <v>3424</v>
      </c>
      <c r="K14" s="7">
        <v>1</v>
      </c>
      <c r="L14" s="7" t="s">
        <v>75</v>
      </c>
      <c r="M14" s="7" t="s">
        <v>3258</v>
      </c>
      <c r="N14" s="8" t="s">
        <v>3263</v>
      </c>
      <c r="O14" s="7"/>
      <c r="P14" s="7"/>
      <c r="Q14" s="12" t="s">
        <v>76</v>
      </c>
      <c r="R14" s="7"/>
      <c r="S14" s="7" t="s">
        <v>77</v>
      </c>
      <c r="T14" s="7"/>
      <c r="U14" s="7"/>
      <c r="V14" s="7"/>
      <c r="W14" s="7"/>
      <c r="X14" s="7"/>
      <c r="Y14" s="9">
        <v>44855</v>
      </c>
      <c r="Z14" s="7"/>
      <c r="AA14" s="7" t="s">
        <v>74</v>
      </c>
      <c r="AB14" s="8" t="s">
        <v>1243</v>
      </c>
    </row>
    <row r="15" spans="1:28" ht="25">
      <c r="A15">
        <v>15</v>
      </c>
      <c r="B15">
        <v>0</v>
      </c>
      <c r="C15" t="s">
        <v>90</v>
      </c>
      <c r="D15" t="s">
        <v>15</v>
      </c>
      <c r="E15" s="1" t="s">
        <v>1555</v>
      </c>
      <c r="F15" t="s">
        <v>1442</v>
      </c>
      <c r="J15" s="18">
        <v>5600005</v>
      </c>
      <c r="K15">
        <v>27</v>
      </c>
      <c r="L15" t="s">
        <v>44</v>
      </c>
      <c r="M15" t="s">
        <v>3259</v>
      </c>
      <c r="N15" s="1"/>
      <c r="O15" t="s">
        <v>92</v>
      </c>
      <c r="P15" t="s">
        <v>93</v>
      </c>
      <c r="Q15" s="10"/>
      <c r="S15" t="s">
        <v>94</v>
      </c>
      <c r="Y15" s="2">
        <v>44859</v>
      </c>
      <c r="Z15" t="s">
        <v>15</v>
      </c>
      <c r="AA15" t="s">
        <v>91</v>
      </c>
      <c r="AB15" s="1" t="s">
        <v>1246</v>
      </c>
    </row>
    <row r="16" spans="1:28" ht="25">
      <c r="A16">
        <v>16</v>
      </c>
      <c r="B16">
        <v>0</v>
      </c>
      <c r="C16" t="s">
        <v>83</v>
      </c>
      <c r="D16" t="s">
        <v>15</v>
      </c>
      <c r="E16" s="1" t="s">
        <v>1556</v>
      </c>
      <c r="F16" t="s">
        <v>1443</v>
      </c>
      <c r="J16" s="18">
        <v>2700157</v>
      </c>
      <c r="K16">
        <v>12</v>
      </c>
      <c r="L16" t="s">
        <v>85</v>
      </c>
      <c r="M16" t="s">
        <v>3097</v>
      </c>
      <c r="N16" s="1"/>
      <c r="O16" t="s">
        <v>86</v>
      </c>
      <c r="P16" t="s">
        <v>87</v>
      </c>
      <c r="Q16" s="10" t="s">
        <v>88</v>
      </c>
      <c r="S16" t="s">
        <v>89</v>
      </c>
      <c r="Y16" s="2">
        <v>44896</v>
      </c>
      <c r="Z16" t="s">
        <v>15</v>
      </c>
      <c r="AA16" t="s">
        <v>84</v>
      </c>
      <c r="AB16" s="1" t="s">
        <v>1245</v>
      </c>
    </row>
    <row r="17" spans="1:28" ht="25">
      <c r="A17">
        <v>17</v>
      </c>
      <c r="B17">
        <v>0</v>
      </c>
      <c r="C17" t="s">
        <v>95</v>
      </c>
      <c r="D17" t="s">
        <v>15</v>
      </c>
      <c r="E17" s="1" t="s">
        <v>1557</v>
      </c>
      <c r="F17" t="s">
        <v>1444</v>
      </c>
      <c r="J17" s="18">
        <v>9012102</v>
      </c>
      <c r="K17">
        <v>47</v>
      </c>
      <c r="L17" t="s">
        <v>97</v>
      </c>
      <c r="M17" t="s">
        <v>3098</v>
      </c>
      <c r="N17" s="1"/>
      <c r="O17" t="s">
        <v>98</v>
      </c>
      <c r="P17" t="s">
        <v>99</v>
      </c>
      <c r="Q17" s="10"/>
      <c r="S17" t="s">
        <v>100</v>
      </c>
      <c r="Y17" s="2">
        <v>44927</v>
      </c>
      <c r="Z17" t="s">
        <v>15</v>
      </c>
      <c r="AA17" t="s">
        <v>96</v>
      </c>
      <c r="AB17" s="1" t="s">
        <v>1247</v>
      </c>
    </row>
    <row r="18" spans="1:28">
      <c r="A18" s="7">
        <v>18</v>
      </c>
      <c r="B18" s="7">
        <v>1</v>
      </c>
      <c r="C18" s="7" t="s">
        <v>1680</v>
      </c>
      <c r="D18" s="7"/>
      <c r="E18" s="7"/>
      <c r="F18" s="7"/>
      <c r="G18" s="7"/>
      <c r="H18" s="7"/>
      <c r="I18" s="7"/>
      <c r="J18" s="19"/>
      <c r="K18" s="7"/>
      <c r="L18" s="7"/>
      <c r="M18" s="7" t="s">
        <v>1425</v>
      </c>
      <c r="N18" s="8" t="s">
        <v>3479</v>
      </c>
      <c r="O18" s="7"/>
      <c r="P18" s="7"/>
      <c r="Q18" s="12"/>
      <c r="R18" s="7"/>
      <c r="S18" s="7"/>
      <c r="T18" s="7"/>
      <c r="U18" s="7"/>
      <c r="V18" s="7"/>
      <c r="W18" s="7"/>
      <c r="X18" s="7"/>
      <c r="Y18" s="9"/>
      <c r="Z18" s="7"/>
      <c r="AA18" s="7"/>
      <c r="AB18" s="8"/>
    </row>
    <row r="19" spans="1:28" ht="37.5">
      <c r="A19">
        <v>19</v>
      </c>
      <c r="B19">
        <v>0</v>
      </c>
      <c r="C19" t="s">
        <v>125</v>
      </c>
      <c r="D19" t="s">
        <v>1673</v>
      </c>
      <c r="E19" s="1" t="s">
        <v>1676</v>
      </c>
      <c r="F19" t="s">
        <v>1677</v>
      </c>
      <c r="H19" s="1" t="s">
        <v>1558</v>
      </c>
      <c r="I19" t="s">
        <v>1675</v>
      </c>
      <c r="J19" s="18">
        <v>3230826</v>
      </c>
      <c r="K19">
        <v>9</v>
      </c>
      <c r="L19" t="s">
        <v>128</v>
      </c>
      <c r="M19" t="s">
        <v>3260</v>
      </c>
      <c r="N19" s="1"/>
      <c r="O19" t="s">
        <v>129</v>
      </c>
      <c r="P19" t="s">
        <v>130</v>
      </c>
      <c r="Q19" s="10"/>
      <c r="S19" s="14" t="s">
        <v>3356</v>
      </c>
      <c r="T19" s="1" t="s">
        <v>3355</v>
      </c>
      <c r="U19" t="s">
        <v>132</v>
      </c>
      <c r="Y19" s="2">
        <v>44958</v>
      </c>
      <c r="Z19" t="s">
        <v>126</v>
      </c>
      <c r="AA19" t="s">
        <v>127</v>
      </c>
      <c r="AB19" s="1" t="s">
        <v>1252</v>
      </c>
    </row>
    <row r="20" spans="1:28" ht="37.5">
      <c r="A20">
        <v>20</v>
      </c>
      <c r="B20">
        <v>0</v>
      </c>
      <c r="C20" t="s">
        <v>119</v>
      </c>
      <c r="D20" t="s">
        <v>1673</v>
      </c>
      <c r="E20" s="1" t="s">
        <v>1559</v>
      </c>
      <c r="F20" t="s">
        <v>1445</v>
      </c>
      <c r="J20" s="18">
        <v>7391733</v>
      </c>
      <c r="K20">
        <v>34</v>
      </c>
      <c r="L20" t="s">
        <v>121</v>
      </c>
      <c r="M20" t="s">
        <v>3138</v>
      </c>
      <c r="N20" s="1"/>
      <c r="O20" t="s">
        <v>122</v>
      </c>
      <c r="P20" t="s">
        <v>123</v>
      </c>
      <c r="Q20" s="10"/>
      <c r="S20" s="14" t="s">
        <v>3357</v>
      </c>
      <c r="T20" s="1" t="s">
        <v>3358</v>
      </c>
      <c r="Y20" s="2">
        <v>44958</v>
      </c>
      <c r="Z20" t="s">
        <v>22</v>
      </c>
      <c r="AA20" t="s">
        <v>120</v>
      </c>
      <c r="AB20" s="1" t="s">
        <v>1251</v>
      </c>
    </row>
    <row r="21" spans="1:28" ht="25">
      <c r="A21">
        <v>21</v>
      </c>
      <c r="B21">
        <v>0</v>
      </c>
      <c r="C21" t="s">
        <v>139</v>
      </c>
      <c r="D21" t="s">
        <v>15</v>
      </c>
      <c r="E21" s="1" t="s">
        <v>1560</v>
      </c>
      <c r="F21" t="s">
        <v>1678</v>
      </c>
      <c r="J21" s="18">
        <v>1030012</v>
      </c>
      <c r="K21">
        <v>13</v>
      </c>
      <c r="L21" t="s">
        <v>16</v>
      </c>
      <c r="M21" t="s">
        <v>3139</v>
      </c>
      <c r="N21" s="1"/>
      <c r="O21" t="s">
        <v>141</v>
      </c>
      <c r="P21" t="s">
        <v>142</v>
      </c>
      <c r="Q21" s="10" t="s">
        <v>143</v>
      </c>
      <c r="S21" t="s">
        <v>144</v>
      </c>
      <c r="Y21" s="2">
        <v>44958</v>
      </c>
      <c r="Z21" t="s">
        <v>15</v>
      </c>
      <c r="AA21" s="1" t="s">
        <v>140</v>
      </c>
      <c r="AB21" s="1" t="s">
        <v>1254</v>
      </c>
    </row>
    <row r="22" spans="1:28" ht="25">
      <c r="A22" s="7">
        <v>22</v>
      </c>
      <c r="B22" s="7">
        <v>1</v>
      </c>
      <c r="C22" s="7" t="s">
        <v>101</v>
      </c>
      <c r="D22" s="7" t="s">
        <v>15</v>
      </c>
      <c r="E22" s="8" t="s">
        <v>1561</v>
      </c>
      <c r="F22" s="7" t="s">
        <v>1446</v>
      </c>
      <c r="G22" s="7"/>
      <c r="H22" s="7"/>
      <c r="I22" s="7"/>
      <c r="J22" s="19">
        <v>1230843</v>
      </c>
      <c r="K22" s="7">
        <v>13</v>
      </c>
      <c r="L22" s="7" t="s">
        <v>16</v>
      </c>
      <c r="M22" s="7" t="s">
        <v>3140</v>
      </c>
      <c r="N22" s="8" t="s">
        <v>3480</v>
      </c>
      <c r="O22" s="7" t="s">
        <v>103</v>
      </c>
      <c r="P22" s="7" t="s">
        <v>104</v>
      </c>
      <c r="Q22" s="12"/>
      <c r="R22" s="7"/>
      <c r="S22" s="7" t="s">
        <v>105</v>
      </c>
      <c r="T22" s="7"/>
      <c r="U22" s="7"/>
      <c r="V22" s="7"/>
      <c r="W22" s="7"/>
      <c r="X22" s="7"/>
      <c r="Y22" s="9">
        <v>44977</v>
      </c>
      <c r="Z22" s="7" t="s">
        <v>15</v>
      </c>
      <c r="AA22" s="7" t="s">
        <v>102</v>
      </c>
      <c r="AB22" s="8" t="s">
        <v>1248</v>
      </c>
    </row>
    <row r="23" spans="1:28">
      <c r="A23" s="7">
        <v>23</v>
      </c>
      <c r="B23" s="7">
        <v>1</v>
      </c>
      <c r="C23" s="7" t="s">
        <v>1681</v>
      </c>
      <c r="D23" s="7"/>
      <c r="E23" s="7"/>
      <c r="F23" s="7"/>
      <c r="G23" s="7"/>
      <c r="H23" s="7"/>
      <c r="I23" s="7"/>
      <c r="J23" s="19"/>
      <c r="K23" s="7"/>
      <c r="L23" s="7"/>
      <c r="M23" s="7" t="s">
        <v>1425</v>
      </c>
      <c r="N23" s="8" t="s">
        <v>3478</v>
      </c>
      <c r="O23" s="7"/>
      <c r="P23" s="7"/>
      <c r="Q23" s="12"/>
      <c r="R23" s="7"/>
      <c r="S23" s="7"/>
      <c r="T23" s="7"/>
      <c r="U23" s="7"/>
      <c r="V23" s="7"/>
      <c r="W23" s="7"/>
      <c r="X23" s="7"/>
      <c r="Y23" s="9"/>
      <c r="Z23" s="7"/>
      <c r="AA23" s="7"/>
      <c r="AB23" s="8"/>
    </row>
    <row r="24" spans="1:28" ht="37.5">
      <c r="A24">
        <v>24</v>
      </c>
      <c r="B24">
        <v>0</v>
      </c>
      <c r="C24" t="s">
        <v>3499</v>
      </c>
      <c r="D24" t="s">
        <v>22</v>
      </c>
      <c r="E24" s="1" t="s">
        <v>1562</v>
      </c>
      <c r="F24" t="s">
        <v>1447</v>
      </c>
      <c r="J24" s="18">
        <v>2010003</v>
      </c>
      <c r="K24">
        <v>13</v>
      </c>
      <c r="L24" t="s">
        <v>16</v>
      </c>
      <c r="M24" t="s">
        <v>3261</v>
      </c>
      <c r="N24" s="1" t="s">
        <v>3265</v>
      </c>
      <c r="O24" t="s">
        <v>171</v>
      </c>
      <c r="P24" t="s">
        <v>172</v>
      </c>
      <c r="Q24" s="10" t="s">
        <v>173</v>
      </c>
      <c r="S24" s="14" t="s">
        <v>3359</v>
      </c>
      <c r="T24" s="1" t="s">
        <v>3360</v>
      </c>
      <c r="Y24" s="2">
        <v>44966</v>
      </c>
      <c r="Z24" t="s">
        <v>22</v>
      </c>
      <c r="AA24" t="s">
        <v>170</v>
      </c>
      <c r="AB24" s="1" t="s">
        <v>1259</v>
      </c>
    </row>
    <row r="25" spans="1:28" ht="37.5">
      <c r="A25">
        <v>25</v>
      </c>
      <c r="B25">
        <v>0</v>
      </c>
      <c r="C25" t="s">
        <v>3500</v>
      </c>
      <c r="D25" t="s">
        <v>22</v>
      </c>
      <c r="E25" s="1" t="s">
        <v>1562</v>
      </c>
      <c r="F25" t="s">
        <v>1447</v>
      </c>
      <c r="G25" t="s">
        <v>1684</v>
      </c>
      <c r="H25" s="1" t="s">
        <v>1563</v>
      </c>
      <c r="I25" t="s">
        <v>1448</v>
      </c>
      <c r="J25" s="18">
        <v>2010012</v>
      </c>
      <c r="K25">
        <v>13</v>
      </c>
      <c r="L25" t="s">
        <v>16</v>
      </c>
      <c r="M25" t="s">
        <v>3264</v>
      </c>
      <c r="N25" s="1" t="s">
        <v>3265</v>
      </c>
      <c r="P25" t="s">
        <v>178</v>
      </c>
      <c r="Q25" s="10"/>
      <c r="S25" s="14" t="s">
        <v>3361</v>
      </c>
      <c r="T25" s="1" t="s">
        <v>3360</v>
      </c>
      <c r="Y25" s="2">
        <v>44966</v>
      </c>
      <c r="Z25" t="s">
        <v>176</v>
      </c>
      <c r="AA25" t="s">
        <v>177</v>
      </c>
      <c r="AB25" s="1" t="s">
        <v>1260</v>
      </c>
    </row>
    <row r="26" spans="1:28" ht="25">
      <c r="A26">
        <v>26</v>
      </c>
      <c r="B26">
        <v>0</v>
      </c>
      <c r="C26" t="s">
        <v>157</v>
      </c>
      <c r="D26" t="s">
        <v>15</v>
      </c>
      <c r="E26" s="1" t="s">
        <v>1564</v>
      </c>
      <c r="F26" t="s">
        <v>1451</v>
      </c>
      <c r="J26" s="18">
        <v>9290326</v>
      </c>
      <c r="K26">
        <v>17</v>
      </c>
      <c r="L26" t="s">
        <v>159</v>
      </c>
      <c r="M26" t="s">
        <v>3141</v>
      </c>
      <c r="O26" t="s">
        <v>160</v>
      </c>
      <c r="P26" t="s">
        <v>161</v>
      </c>
      <c r="Q26" s="10" t="s">
        <v>162</v>
      </c>
      <c r="S26" s="14" t="s">
        <v>3362</v>
      </c>
      <c r="T26" s="1" t="s">
        <v>3363</v>
      </c>
      <c r="Y26" s="2">
        <v>44964</v>
      </c>
      <c r="Z26" t="s">
        <v>15</v>
      </c>
      <c r="AA26" t="s">
        <v>158</v>
      </c>
      <c r="AB26" s="1" t="s">
        <v>1257</v>
      </c>
    </row>
    <row r="27" spans="1:28" ht="25">
      <c r="A27">
        <v>27</v>
      </c>
      <c r="B27">
        <v>0</v>
      </c>
      <c r="C27" t="s">
        <v>180</v>
      </c>
      <c r="D27" t="s">
        <v>15</v>
      </c>
      <c r="E27" s="1" t="s">
        <v>1565</v>
      </c>
      <c r="F27" t="s">
        <v>1686</v>
      </c>
      <c r="J27" s="18">
        <v>1900021</v>
      </c>
      <c r="K27">
        <v>13</v>
      </c>
      <c r="L27" t="s">
        <v>16</v>
      </c>
      <c r="M27" t="s">
        <v>3142</v>
      </c>
      <c r="N27" s="1"/>
      <c r="O27" t="s">
        <v>182</v>
      </c>
      <c r="P27" t="s">
        <v>183</v>
      </c>
      <c r="Q27" s="10" t="s">
        <v>184</v>
      </c>
      <c r="S27" s="14" t="s">
        <v>3364</v>
      </c>
      <c r="T27" s="1" t="s">
        <v>3365</v>
      </c>
      <c r="Y27" s="2">
        <v>44965</v>
      </c>
      <c r="Z27" t="s">
        <v>15</v>
      </c>
      <c r="AA27" s="1" t="s">
        <v>1685</v>
      </c>
      <c r="AB27" s="1" t="s">
        <v>1261</v>
      </c>
    </row>
    <row r="28" spans="1:28" ht="25">
      <c r="A28">
        <v>28</v>
      </c>
      <c r="B28">
        <v>0</v>
      </c>
      <c r="C28" t="s">
        <v>214</v>
      </c>
      <c r="D28" t="s">
        <v>22</v>
      </c>
      <c r="E28" s="1" t="s">
        <v>1566</v>
      </c>
      <c r="F28" t="s">
        <v>1452</v>
      </c>
      <c r="J28" s="18">
        <v>2510021</v>
      </c>
      <c r="K28">
        <v>14</v>
      </c>
      <c r="L28" t="s">
        <v>50</v>
      </c>
      <c r="M28" t="s">
        <v>3099</v>
      </c>
      <c r="N28" s="1"/>
      <c r="O28" t="s">
        <v>216</v>
      </c>
      <c r="P28" t="s">
        <v>217</v>
      </c>
      <c r="Q28" s="10" t="s">
        <v>218</v>
      </c>
      <c r="S28" t="s">
        <v>219</v>
      </c>
      <c r="Y28" s="2">
        <v>44970</v>
      </c>
      <c r="Z28" t="s">
        <v>22</v>
      </c>
      <c r="AA28" t="s">
        <v>215</v>
      </c>
      <c r="AB28" s="1" t="s">
        <v>1266</v>
      </c>
    </row>
    <row r="29" spans="1:28" ht="25">
      <c r="A29">
        <v>29</v>
      </c>
      <c r="B29">
        <v>0</v>
      </c>
      <c r="C29" t="s">
        <v>164</v>
      </c>
      <c r="D29" t="s">
        <v>22</v>
      </c>
      <c r="E29" s="1" t="s">
        <v>1567</v>
      </c>
      <c r="F29" t="s">
        <v>1453</v>
      </c>
      <c r="J29" s="18">
        <v>2510028</v>
      </c>
      <c r="K29">
        <v>14</v>
      </c>
      <c r="L29" t="s">
        <v>50</v>
      </c>
      <c r="M29" t="s">
        <v>3100</v>
      </c>
      <c r="N29" s="1"/>
      <c r="O29" t="s">
        <v>166</v>
      </c>
      <c r="P29" t="s">
        <v>167</v>
      </c>
      <c r="Q29" s="10" t="s">
        <v>168</v>
      </c>
      <c r="S29" t="s">
        <v>169</v>
      </c>
      <c r="Y29" s="2">
        <v>45017</v>
      </c>
      <c r="Z29" t="s">
        <v>22</v>
      </c>
      <c r="AA29" t="s">
        <v>165</v>
      </c>
      <c r="AB29" s="1" t="s">
        <v>1258</v>
      </c>
    </row>
    <row r="30" spans="1:28" ht="25">
      <c r="A30">
        <v>30</v>
      </c>
      <c r="B30">
        <v>0</v>
      </c>
      <c r="C30" t="s">
        <v>201</v>
      </c>
      <c r="D30" t="s">
        <v>22</v>
      </c>
      <c r="E30" s="1" t="s">
        <v>1449</v>
      </c>
      <c r="F30" t="s">
        <v>1454</v>
      </c>
      <c r="J30" s="18">
        <v>7620025</v>
      </c>
      <c r="K30">
        <v>37</v>
      </c>
      <c r="L30" t="s">
        <v>203</v>
      </c>
      <c r="M30" t="s">
        <v>3143</v>
      </c>
      <c r="N30" s="1"/>
      <c r="O30" t="s">
        <v>204</v>
      </c>
      <c r="P30" t="s">
        <v>205</v>
      </c>
      <c r="Q30" s="10" t="s">
        <v>206</v>
      </c>
      <c r="S30" s="14" t="s">
        <v>3366</v>
      </c>
      <c r="T30" s="1" t="s">
        <v>3367</v>
      </c>
      <c r="Y30" s="2">
        <v>44978</v>
      </c>
      <c r="Z30" t="s">
        <v>22</v>
      </c>
      <c r="AA30" t="s">
        <v>202</v>
      </c>
      <c r="AB30" s="1" t="s">
        <v>1264</v>
      </c>
    </row>
    <row r="31" spans="1:28" ht="25">
      <c r="A31">
        <v>31</v>
      </c>
      <c r="B31">
        <v>0</v>
      </c>
      <c r="C31" t="s">
        <v>186</v>
      </c>
      <c r="D31" s="1" t="s">
        <v>1688</v>
      </c>
      <c r="E31" t="s">
        <v>1689</v>
      </c>
      <c r="F31" s="1" t="s">
        <v>1690</v>
      </c>
      <c r="G31" t="s">
        <v>1669</v>
      </c>
      <c r="H31" s="1" t="s">
        <v>1568</v>
      </c>
      <c r="I31" t="s">
        <v>1687</v>
      </c>
      <c r="J31" s="18">
        <v>6620912</v>
      </c>
      <c r="K31">
        <v>28</v>
      </c>
      <c r="L31" t="s">
        <v>189</v>
      </c>
      <c r="M31" t="s">
        <v>3101</v>
      </c>
      <c r="N31" s="1"/>
      <c r="O31" t="s">
        <v>190</v>
      </c>
      <c r="P31" t="s">
        <v>191</v>
      </c>
      <c r="Q31" s="10" t="s">
        <v>192</v>
      </c>
      <c r="S31" t="s">
        <v>193</v>
      </c>
      <c r="Y31" s="2">
        <v>44986</v>
      </c>
      <c r="Z31" t="s">
        <v>187</v>
      </c>
      <c r="AA31" s="1" t="s">
        <v>188</v>
      </c>
      <c r="AB31" s="1" t="s">
        <v>1262</v>
      </c>
    </row>
    <row r="32" spans="1:28" ht="25">
      <c r="A32">
        <v>32</v>
      </c>
      <c r="B32">
        <v>0</v>
      </c>
      <c r="C32" t="s">
        <v>112</v>
      </c>
      <c r="D32" t="s">
        <v>22</v>
      </c>
      <c r="E32" s="1" t="s">
        <v>1569</v>
      </c>
      <c r="F32" t="s">
        <v>1455</v>
      </c>
      <c r="J32" s="18">
        <v>8380068</v>
      </c>
      <c r="K32">
        <v>40</v>
      </c>
      <c r="L32" t="s">
        <v>114</v>
      </c>
      <c r="M32" t="s">
        <v>3102</v>
      </c>
      <c r="N32" s="1"/>
      <c r="O32" t="s">
        <v>115</v>
      </c>
      <c r="P32" t="s">
        <v>116</v>
      </c>
      <c r="Q32" s="10" t="s">
        <v>117</v>
      </c>
      <c r="S32" s="14" t="s">
        <v>3372</v>
      </c>
      <c r="T32" s="1" t="s">
        <v>3373</v>
      </c>
      <c r="Y32" s="2">
        <v>44974</v>
      </c>
      <c r="Z32" t="s">
        <v>22</v>
      </c>
      <c r="AA32" t="s">
        <v>113</v>
      </c>
      <c r="AB32" s="1" t="s">
        <v>1250</v>
      </c>
    </row>
    <row r="33" spans="1:28" ht="37.5">
      <c r="A33">
        <v>33</v>
      </c>
      <c r="B33">
        <v>0</v>
      </c>
      <c r="C33" t="s">
        <v>194</v>
      </c>
      <c r="D33" s="1" t="s">
        <v>1688</v>
      </c>
      <c r="E33" t="s">
        <v>1691</v>
      </c>
      <c r="F33" s="1" t="s">
        <v>1692</v>
      </c>
      <c r="H33" s="1" t="s">
        <v>1570</v>
      </c>
      <c r="I33" t="s">
        <v>1456</v>
      </c>
      <c r="J33" s="18">
        <v>7000017</v>
      </c>
      <c r="K33">
        <v>33</v>
      </c>
      <c r="L33" t="s">
        <v>197</v>
      </c>
      <c r="M33" t="s">
        <v>3266</v>
      </c>
      <c r="N33" s="1" t="s">
        <v>3267</v>
      </c>
      <c r="O33" t="s">
        <v>198</v>
      </c>
      <c r="P33" t="s">
        <v>199</v>
      </c>
      <c r="Q33" s="10"/>
      <c r="S33" s="14" t="s">
        <v>3374</v>
      </c>
      <c r="T33" s="1" t="s">
        <v>3375</v>
      </c>
      <c r="Y33" s="2">
        <v>45017</v>
      </c>
      <c r="Z33" t="s">
        <v>195</v>
      </c>
      <c r="AA33" t="s">
        <v>196</v>
      </c>
      <c r="AB33" s="1" t="s">
        <v>1263</v>
      </c>
    </row>
    <row r="34" spans="1:28" ht="25">
      <c r="A34">
        <v>34</v>
      </c>
      <c r="B34">
        <v>0</v>
      </c>
      <c r="C34" t="s">
        <v>208</v>
      </c>
      <c r="D34" t="s">
        <v>22</v>
      </c>
      <c r="E34" s="1" t="s">
        <v>1563</v>
      </c>
      <c r="F34" t="s">
        <v>1457</v>
      </c>
      <c r="J34" s="18">
        <v>7310221</v>
      </c>
      <c r="K34">
        <v>34</v>
      </c>
      <c r="L34" t="s">
        <v>121</v>
      </c>
      <c r="M34" t="s">
        <v>3144</v>
      </c>
      <c r="O34" t="s">
        <v>210</v>
      </c>
      <c r="P34" t="s">
        <v>211</v>
      </c>
      <c r="Q34" s="10" t="s">
        <v>212</v>
      </c>
      <c r="S34" t="s">
        <v>213</v>
      </c>
      <c r="Y34" s="2">
        <v>44984</v>
      </c>
      <c r="Z34" t="s">
        <v>22</v>
      </c>
      <c r="AA34" t="s">
        <v>209</v>
      </c>
      <c r="AB34" s="1" t="s">
        <v>1265</v>
      </c>
    </row>
    <row r="35" spans="1:28" ht="25">
      <c r="A35">
        <v>35</v>
      </c>
      <c r="B35">
        <v>0</v>
      </c>
      <c r="C35" t="s">
        <v>145</v>
      </c>
      <c r="D35" t="s">
        <v>22</v>
      </c>
      <c r="E35" s="1" t="s">
        <v>1571</v>
      </c>
      <c r="F35" t="s">
        <v>1694</v>
      </c>
      <c r="J35" s="18">
        <v>5580013</v>
      </c>
      <c r="K35">
        <v>27</v>
      </c>
      <c r="L35" t="s">
        <v>44</v>
      </c>
      <c r="M35" t="s">
        <v>3145</v>
      </c>
      <c r="N35" s="1"/>
      <c r="O35" t="s">
        <v>147</v>
      </c>
      <c r="P35" t="s">
        <v>148</v>
      </c>
      <c r="Q35" s="10"/>
      <c r="S35" t="s">
        <v>149</v>
      </c>
      <c r="Y35" s="2">
        <v>44966</v>
      </c>
      <c r="Z35" t="s">
        <v>22</v>
      </c>
      <c r="AA35" s="1" t="s">
        <v>1693</v>
      </c>
      <c r="AB35" s="1" t="s">
        <v>1255</v>
      </c>
    </row>
    <row r="36" spans="1:28" ht="25">
      <c r="A36">
        <v>36</v>
      </c>
      <c r="B36">
        <v>0</v>
      </c>
      <c r="C36" t="s">
        <v>133</v>
      </c>
      <c r="D36" t="s">
        <v>22</v>
      </c>
      <c r="E36" s="1" t="s">
        <v>1572</v>
      </c>
      <c r="F36" t="s">
        <v>1696</v>
      </c>
      <c r="J36" s="18">
        <v>1910021</v>
      </c>
      <c r="K36">
        <v>13</v>
      </c>
      <c r="L36" t="s">
        <v>16</v>
      </c>
      <c r="M36" t="s">
        <v>3146</v>
      </c>
      <c r="N36" s="1"/>
      <c r="O36" t="s">
        <v>135</v>
      </c>
      <c r="P36" t="s">
        <v>136</v>
      </c>
      <c r="Q36" s="10" t="s">
        <v>137</v>
      </c>
      <c r="S36" s="14" t="s">
        <v>3376</v>
      </c>
      <c r="T36" s="1" t="s">
        <v>3377</v>
      </c>
      <c r="Y36" s="2">
        <v>44966</v>
      </c>
      <c r="Z36" t="s">
        <v>22</v>
      </c>
      <c r="AA36" s="1" t="s">
        <v>1695</v>
      </c>
      <c r="AB36" s="1" t="s">
        <v>1253</v>
      </c>
    </row>
    <row r="37" spans="1:28" ht="25">
      <c r="A37">
        <v>37</v>
      </c>
      <c r="B37">
        <v>0</v>
      </c>
      <c r="C37" t="s">
        <v>106</v>
      </c>
      <c r="D37" t="s">
        <v>15</v>
      </c>
      <c r="E37" s="1" t="s">
        <v>1573</v>
      </c>
      <c r="F37" t="s">
        <v>1458</v>
      </c>
      <c r="J37" s="18">
        <v>1640012</v>
      </c>
      <c r="K37">
        <v>13</v>
      </c>
      <c r="L37" t="s">
        <v>16</v>
      </c>
      <c r="M37" t="s">
        <v>3147</v>
      </c>
      <c r="N37" s="1"/>
      <c r="O37" t="s">
        <v>108</v>
      </c>
      <c r="P37" t="s">
        <v>109</v>
      </c>
      <c r="Q37" s="10" t="s">
        <v>110</v>
      </c>
      <c r="S37" t="s">
        <v>111</v>
      </c>
      <c r="Y37" s="2">
        <v>45017</v>
      </c>
      <c r="Z37" t="s">
        <v>15</v>
      </c>
      <c r="AA37" t="s">
        <v>107</v>
      </c>
      <c r="AB37" s="1" t="s">
        <v>1249</v>
      </c>
    </row>
    <row r="38" spans="1:28" ht="25">
      <c r="A38">
        <v>38</v>
      </c>
      <c r="B38">
        <v>0</v>
      </c>
      <c r="C38" t="s">
        <v>238</v>
      </c>
      <c r="D38" t="s">
        <v>22</v>
      </c>
      <c r="E38" s="1" t="s">
        <v>1574</v>
      </c>
      <c r="F38" t="s">
        <v>1459</v>
      </c>
      <c r="J38" s="18">
        <v>3590047</v>
      </c>
      <c r="K38">
        <v>11</v>
      </c>
      <c r="L38" t="s">
        <v>240</v>
      </c>
      <c r="M38" t="s">
        <v>3148</v>
      </c>
      <c r="N38" s="1"/>
      <c r="O38" t="s">
        <v>241</v>
      </c>
      <c r="P38" t="s">
        <v>242</v>
      </c>
      <c r="Q38" s="10"/>
      <c r="S38" s="14" t="s">
        <v>3420</v>
      </c>
      <c r="T38" s="1" t="s">
        <v>3421</v>
      </c>
      <c r="Y38" s="2">
        <v>45017</v>
      </c>
      <c r="Z38" t="s">
        <v>22</v>
      </c>
      <c r="AA38" t="s">
        <v>239</v>
      </c>
      <c r="AB38" s="1" t="s">
        <v>1270</v>
      </c>
    </row>
    <row r="39" spans="1:28" ht="25">
      <c r="A39">
        <v>39</v>
      </c>
      <c r="B39">
        <v>0</v>
      </c>
      <c r="C39" t="s">
        <v>285</v>
      </c>
      <c r="D39" t="s">
        <v>15</v>
      </c>
      <c r="E39" s="1" t="s">
        <v>1575</v>
      </c>
      <c r="F39" t="s">
        <v>1460</v>
      </c>
      <c r="J39" s="18">
        <v>2060823</v>
      </c>
      <c r="K39">
        <v>13</v>
      </c>
      <c r="L39" t="s">
        <v>16</v>
      </c>
      <c r="M39" t="s">
        <v>3149</v>
      </c>
      <c r="N39" s="1"/>
      <c r="O39" t="s">
        <v>287</v>
      </c>
      <c r="P39" t="s">
        <v>288</v>
      </c>
      <c r="Q39" s="10" t="s">
        <v>289</v>
      </c>
      <c r="S39" s="14" t="s">
        <v>3418</v>
      </c>
      <c r="T39" s="1" t="s">
        <v>3419</v>
      </c>
      <c r="Y39" s="2">
        <v>45017</v>
      </c>
      <c r="Z39" t="s">
        <v>15</v>
      </c>
      <c r="AA39" t="s">
        <v>286</v>
      </c>
      <c r="AB39" s="1" t="s">
        <v>1278</v>
      </c>
    </row>
    <row r="40" spans="1:28" ht="25">
      <c r="A40">
        <v>40</v>
      </c>
      <c r="B40">
        <v>0</v>
      </c>
      <c r="C40" t="s">
        <v>263</v>
      </c>
      <c r="D40" t="s">
        <v>15</v>
      </c>
      <c r="E40" s="1" t="s">
        <v>1576</v>
      </c>
      <c r="F40" t="s">
        <v>1461</v>
      </c>
      <c r="J40" s="18">
        <v>8990212</v>
      </c>
      <c r="K40">
        <v>46</v>
      </c>
      <c r="L40" t="s">
        <v>247</v>
      </c>
      <c r="M40" t="s">
        <v>3150</v>
      </c>
      <c r="N40" s="1"/>
      <c r="O40" t="s">
        <v>265</v>
      </c>
      <c r="P40" t="s">
        <v>266</v>
      </c>
      <c r="Q40" s="10" t="s">
        <v>267</v>
      </c>
      <c r="S40" t="s">
        <v>268</v>
      </c>
      <c r="Y40" s="2">
        <v>45017</v>
      </c>
      <c r="Z40" t="s">
        <v>15</v>
      </c>
      <c r="AA40" t="s">
        <v>264</v>
      </c>
      <c r="AB40" s="1" t="s">
        <v>1274</v>
      </c>
    </row>
    <row r="41" spans="1:28" ht="25">
      <c r="A41">
        <v>41</v>
      </c>
      <c r="B41">
        <v>0</v>
      </c>
      <c r="C41" t="s">
        <v>313</v>
      </c>
      <c r="D41" t="s">
        <v>15</v>
      </c>
      <c r="E41" s="1" t="s">
        <v>1577</v>
      </c>
      <c r="F41" t="s">
        <v>3498</v>
      </c>
      <c r="J41" s="18">
        <v>4710835</v>
      </c>
      <c r="K41">
        <v>23</v>
      </c>
      <c r="L41" t="s">
        <v>63</v>
      </c>
      <c r="M41" t="s">
        <v>3151</v>
      </c>
      <c r="N41" s="1"/>
      <c r="O41" t="s">
        <v>315</v>
      </c>
      <c r="Q41" s="10" t="s">
        <v>316</v>
      </c>
      <c r="S41" t="s">
        <v>317</v>
      </c>
      <c r="Y41" s="2">
        <v>45017</v>
      </c>
      <c r="Z41" t="s">
        <v>15</v>
      </c>
      <c r="AA41" s="1" t="s">
        <v>314</v>
      </c>
      <c r="AB41" s="1" t="s">
        <v>1283</v>
      </c>
    </row>
    <row r="42" spans="1:28" s="7" customFormat="1" ht="25">
      <c r="A42" s="7">
        <v>42</v>
      </c>
      <c r="B42" s="7">
        <v>1</v>
      </c>
      <c r="C42" s="8" t="s">
        <v>3507</v>
      </c>
      <c r="D42" s="7" t="s">
        <v>15</v>
      </c>
      <c r="E42" s="8" t="s">
        <v>1578</v>
      </c>
      <c r="F42" s="7" t="s">
        <v>1462</v>
      </c>
      <c r="J42" s="19">
        <v>8870021</v>
      </c>
      <c r="K42" s="7">
        <v>45</v>
      </c>
      <c r="L42" s="7" t="s">
        <v>319</v>
      </c>
      <c r="M42" s="7" t="s">
        <v>3152</v>
      </c>
      <c r="N42" s="8" t="s">
        <v>3492</v>
      </c>
      <c r="O42" s="7" t="s">
        <v>320</v>
      </c>
      <c r="P42" s="7" t="s">
        <v>321</v>
      </c>
      <c r="Q42" s="12"/>
      <c r="S42" s="16" t="s">
        <v>3390</v>
      </c>
      <c r="T42" s="8" t="s">
        <v>3391</v>
      </c>
      <c r="Y42" s="9">
        <v>45017</v>
      </c>
      <c r="Z42" s="7" t="s">
        <v>15</v>
      </c>
      <c r="AA42" s="7" t="s">
        <v>318</v>
      </c>
      <c r="AB42" s="8" t="s">
        <v>1284</v>
      </c>
    </row>
    <row r="43" spans="1:28" ht="25">
      <c r="A43">
        <v>43</v>
      </c>
      <c r="B43">
        <v>0</v>
      </c>
      <c r="C43" t="s">
        <v>3316</v>
      </c>
      <c r="D43" s="1" t="s">
        <v>22</v>
      </c>
      <c r="E43" s="1" t="s">
        <v>1698</v>
      </c>
      <c r="F43" t="s">
        <v>1700</v>
      </c>
      <c r="G43" t="s">
        <v>1669</v>
      </c>
      <c r="H43" t="s">
        <v>1697</v>
      </c>
      <c r="I43" t="s">
        <v>1463</v>
      </c>
      <c r="J43" s="18">
        <v>1110055</v>
      </c>
      <c r="K43">
        <v>13</v>
      </c>
      <c r="L43" t="s">
        <v>16</v>
      </c>
      <c r="M43" t="s">
        <v>3153</v>
      </c>
      <c r="N43" s="1"/>
      <c r="O43" t="s">
        <v>309</v>
      </c>
      <c r="P43" t="s">
        <v>310</v>
      </c>
      <c r="Q43" s="10" t="s">
        <v>311</v>
      </c>
      <c r="S43" s="14" t="s">
        <v>3416</v>
      </c>
      <c r="T43" s="1" t="s">
        <v>3417</v>
      </c>
      <c r="Y43" s="2">
        <v>45017</v>
      </c>
      <c r="AA43" s="1" t="s">
        <v>1699</v>
      </c>
      <c r="AB43" s="1" t="s">
        <v>1282</v>
      </c>
    </row>
    <row r="44" spans="1:28" ht="25">
      <c r="A44">
        <v>44</v>
      </c>
      <c r="B44">
        <v>0</v>
      </c>
      <c r="C44" t="s">
        <v>323</v>
      </c>
      <c r="D44" t="s">
        <v>15</v>
      </c>
      <c r="E44" s="1" t="s">
        <v>1579</v>
      </c>
      <c r="F44" t="s">
        <v>1464</v>
      </c>
      <c r="J44" s="18">
        <v>3990703</v>
      </c>
      <c r="K44">
        <v>20</v>
      </c>
      <c r="L44" t="s">
        <v>260</v>
      </c>
      <c r="M44" t="s">
        <v>3154</v>
      </c>
      <c r="N44" s="1"/>
      <c r="O44" t="s">
        <v>325</v>
      </c>
      <c r="P44" t="s">
        <v>326</v>
      </c>
      <c r="Q44" s="10" t="s">
        <v>327</v>
      </c>
      <c r="S44" s="14" t="s">
        <v>3414</v>
      </c>
      <c r="T44" s="1" t="s">
        <v>3415</v>
      </c>
      <c r="Y44" s="2">
        <v>45017</v>
      </c>
      <c r="Z44" t="s">
        <v>15</v>
      </c>
      <c r="AA44" t="s">
        <v>324</v>
      </c>
      <c r="AB44" s="1" t="s">
        <v>1285</v>
      </c>
    </row>
    <row r="45" spans="1:28" ht="50">
      <c r="A45">
        <v>45</v>
      </c>
      <c r="B45">
        <v>0</v>
      </c>
      <c r="C45" t="s">
        <v>302</v>
      </c>
      <c r="D45" t="s">
        <v>15</v>
      </c>
      <c r="E45" s="1" t="s">
        <v>1580</v>
      </c>
      <c r="F45" t="s">
        <v>1465</v>
      </c>
      <c r="J45" s="18">
        <v>2380031</v>
      </c>
      <c r="K45">
        <v>14</v>
      </c>
      <c r="L45" t="s">
        <v>50</v>
      </c>
      <c r="M45" t="s">
        <v>3268</v>
      </c>
      <c r="N45" s="1"/>
      <c r="O45" t="s">
        <v>304</v>
      </c>
      <c r="P45" t="s">
        <v>305</v>
      </c>
      <c r="Q45" s="10" t="s">
        <v>306</v>
      </c>
      <c r="S45" t="s">
        <v>307</v>
      </c>
      <c r="Y45" s="2">
        <v>45047</v>
      </c>
      <c r="Z45" t="s">
        <v>15</v>
      </c>
      <c r="AA45" t="s">
        <v>303</v>
      </c>
      <c r="AB45" s="1" t="s">
        <v>1281</v>
      </c>
    </row>
    <row r="46" spans="1:28">
      <c r="A46" s="7">
        <v>46</v>
      </c>
      <c r="B46" s="7">
        <v>1</v>
      </c>
      <c r="C46" s="7" t="s">
        <v>1682</v>
      </c>
      <c r="D46" s="7"/>
      <c r="E46" s="7"/>
      <c r="F46" s="7"/>
      <c r="G46" s="7"/>
      <c r="H46" s="7"/>
      <c r="I46" s="7"/>
      <c r="J46" s="19"/>
      <c r="K46" s="7"/>
      <c r="L46" s="7"/>
      <c r="M46" s="7" t="s">
        <v>1425</v>
      </c>
      <c r="N46" s="8" t="s">
        <v>3481</v>
      </c>
      <c r="O46" s="7"/>
      <c r="P46" s="7"/>
      <c r="Q46" s="12"/>
      <c r="R46" s="7"/>
      <c r="S46" s="7"/>
      <c r="T46" s="7"/>
      <c r="U46" s="7"/>
      <c r="V46" s="7"/>
      <c r="W46" s="7"/>
      <c r="X46" s="7"/>
      <c r="Y46" s="9"/>
      <c r="Z46" s="7"/>
      <c r="AA46" s="7"/>
      <c r="AB46" s="8"/>
    </row>
    <row r="47" spans="1:28" ht="37.5">
      <c r="A47">
        <v>47</v>
      </c>
      <c r="B47">
        <v>0</v>
      </c>
      <c r="C47" t="s">
        <v>244</v>
      </c>
      <c r="D47" t="s">
        <v>1673</v>
      </c>
      <c r="E47" t="s">
        <v>1702</v>
      </c>
      <c r="F47" t="s">
        <v>1703</v>
      </c>
      <c r="G47" t="s">
        <v>1668</v>
      </c>
      <c r="H47" s="1" t="s">
        <v>1581</v>
      </c>
      <c r="I47" t="s">
        <v>1466</v>
      </c>
      <c r="J47" s="18">
        <v>8920823</v>
      </c>
      <c r="K47">
        <v>46</v>
      </c>
      <c r="L47" t="s">
        <v>247</v>
      </c>
      <c r="M47" t="s">
        <v>3269</v>
      </c>
      <c r="N47" s="1" t="s">
        <v>3270</v>
      </c>
      <c r="O47" t="s">
        <v>248</v>
      </c>
      <c r="P47" t="s">
        <v>249</v>
      </c>
      <c r="Q47" s="10" t="s">
        <v>250</v>
      </c>
      <c r="S47" t="s">
        <v>251</v>
      </c>
      <c r="Y47" s="2">
        <v>45031</v>
      </c>
      <c r="Z47" t="s">
        <v>1701</v>
      </c>
      <c r="AA47" t="s">
        <v>246</v>
      </c>
      <c r="AB47" s="1" t="s">
        <v>1271</v>
      </c>
    </row>
    <row r="48" spans="1:28" ht="25">
      <c r="A48">
        <v>48</v>
      </c>
      <c r="B48">
        <v>0</v>
      </c>
      <c r="C48" t="s">
        <v>336</v>
      </c>
      <c r="D48" t="s">
        <v>22</v>
      </c>
      <c r="E48" s="1" t="s">
        <v>1582</v>
      </c>
      <c r="F48" t="s">
        <v>1467</v>
      </c>
      <c r="J48" s="18">
        <v>7320014</v>
      </c>
      <c r="K48">
        <v>34</v>
      </c>
      <c r="L48" t="s">
        <v>121</v>
      </c>
      <c r="M48" t="s">
        <v>3155</v>
      </c>
      <c r="O48" t="s">
        <v>338</v>
      </c>
      <c r="P48" t="s">
        <v>339</v>
      </c>
      <c r="Q48" s="10" t="s">
        <v>340</v>
      </c>
      <c r="S48" t="s">
        <v>341</v>
      </c>
      <c r="Y48" s="2">
        <v>45043</v>
      </c>
      <c r="Z48" t="s">
        <v>22</v>
      </c>
      <c r="AA48" t="s">
        <v>337</v>
      </c>
      <c r="AB48" s="1" t="s">
        <v>1287</v>
      </c>
    </row>
    <row r="49" spans="1:28" ht="25">
      <c r="A49">
        <v>49</v>
      </c>
      <c r="B49">
        <v>0</v>
      </c>
      <c r="C49" t="s">
        <v>279</v>
      </c>
      <c r="D49" t="s">
        <v>15</v>
      </c>
      <c r="E49" s="1" t="s">
        <v>1583</v>
      </c>
      <c r="F49" t="s">
        <v>1468</v>
      </c>
      <c r="J49" s="18">
        <v>1910031</v>
      </c>
      <c r="K49">
        <v>13</v>
      </c>
      <c r="L49" t="s">
        <v>16</v>
      </c>
      <c r="M49" t="s">
        <v>3156</v>
      </c>
      <c r="N49" s="1"/>
      <c r="O49" t="s">
        <v>281</v>
      </c>
      <c r="P49" t="s">
        <v>282</v>
      </c>
      <c r="Q49" s="10" t="s">
        <v>283</v>
      </c>
      <c r="S49" s="14" t="s">
        <v>3412</v>
      </c>
      <c r="T49" s="1" t="s">
        <v>3413</v>
      </c>
      <c r="Y49" s="2">
        <v>45017</v>
      </c>
      <c r="Z49" t="s">
        <v>15</v>
      </c>
      <c r="AA49" t="s">
        <v>280</v>
      </c>
      <c r="AB49" s="1" t="s">
        <v>1277</v>
      </c>
    </row>
    <row r="50" spans="1:28" ht="25">
      <c r="A50">
        <v>50</v>
      </c>
      <c r="B50">
        <v>0</v>
      </c>
      <c r="C50" t="s">
        <v>329</v>
      </c>
      <c r="D50" t="s">
        <v>22</v>
      </c>
      <c r="E50" s="1" t="s">
        <v>1584</v>
      </c>
      <c r="F50" t="s">
        <v>1469</v>
      </c>
      <c r="J50" s="18">
        <v>6408444</v>
      </c>
      <c r="K50">
        <v>30</v>
      </c>
      <c r="L50" t="s">
        <v>331</v>
      </c>
      <c r="M50" t="s">
        <v>3103</v>
      </c>
      <c r="N50" s="1"/>
      <c r="O50" t="s">
        <v>332</v>
      </c>
      <c r="P50" t="s">
        <v>333</v>
      </c>
      <c r="Q50" s="11"/>
      <c r="R50" s="1"/>
      <c r="S50" s="14" t="s">
        <v>3410</v>
      </c>
      <c r="T50" s="1" t="s">
        <v>3411</v>
      </c>
      <c r="Y50" s="2">
        <v>45054</v>
      </c>
      <c r="Z50" t="s">
        <v>22</v>
      </c>
      <c r="AA50" t="s">
        <v>330</v>
      </c>
      <c r="AB50" s="1" t="s">
        <v>1286</v>
      </c>
    </row>
    <row r="51" spans="1:28">
      <c r="A51" s="7">
        <v>51</v>
      </c>
      <c r="B51" s="7">
        <v>1</v>
      </c>
      <c r="C51" s="7" t="s">
        <v>1683</v>
      </c>
      <c r="D51" s="7"/>
      <c r="E51" s="7"/>
      <c r="F51" s="7"/>
      <c r="G51" s="7"/>
      <c r="H51" s="7"/>
      <c r="I51" s="7"/>
      <c r="J51" s="19"/>
      <c r="K51" s="7"/>
      <c r="L51" s="7"/>
      <c r="M51" s="7" t="s">
        <v>1425</v>
      </c>
      <c r="N51" s="8" t="s">
        <v>3482</v>
      </c>
      <c r="O51" s="7"/>
      <c r="P51" s="7"/>
      <c r="Q51" s="13"/>
      <c r="R51" s="8"/>
      <c r="S51" s="8"/>
      <c r="T51" s="8"/>
      <c r="U51" s="7"/>
      <c r="V51" s="7"/>
      <c r="W51" s="7"/>
      <c r="X51" s="7"/>
      <c r="Y51" s="9"/>
      <c r="Z51" s="7"/>
      <c r="AA51" s="7"/>
      <c r="AB51" s="8"/>
    </row>
    <row r="52" spans="1:28" ht="25">
      <c r="A52">
        <v>52</v>
      </c>
      <c r="B52">
        <v>0</v>
      </c>
      <c r="C52" t="s">
        <v>252</v>
      </c>
      <c r="E52" s="1" t="s">
        <v>1585</v>
      </c>
      <c r="F52" t="s">
        <v>1470</v>
      </c>
      <c r="J52" s="18">
        <v>1580082</v>
      </c>
      <c r="K52">
        <v>13</v>
      </c>
      <c r="L52" t="s">
        <v>16</v>
      </c>
      <c r="M52" t="s">
        <v>3271</v>
      </c>
      <c r="N52" s="1" t="s">
        <v>3272</v>
      </c>
      <c r="O52" t="s">
        <v>254</v>
      </c>
      <c r="P52" t="s">
        <v>255</v>
      </c>
      <c r="Q52" s="10" t="s">
        <v>256</v>
      </c>
      <c r="S52" s="14" t="s">
        <v>3408</v>
      </c>
      <c r="T52" t="s">
        <v>3409</v>
      </c>
      <c r="Y52" s="2">
        <v>45078</v>
      </c>
      <c r="AA52" t="s">
        <v>253</v>
      </c>
      <c r="AB52" s="1" t="s">
        <v>1272</v>
      </c>
    </row>
    <row r="53" spans="1:28" ht="25">
      <c r="A53">
        <v>53</v>
      </c>
      <c r="B53">
        <v>0</v>
      </c>
      <c r="C53" t="s">
        <v>258</v>
      </c>
      <c r="D53" t="s">
        <v>15</v>
      </c>
      <c r="E53" s="1" t="s">
        <v>1586</v>
      </c>
      <c r="F53" t="s">
        <v>1471</v>
      </c>
      <c r="J53" s="18">
        <v>3860018</v>
      </c>
      <c r="K53">
        <v>20</v>
      </c>
      <c r="L53" t="s">
        <v>260</v>
      </c>
      <c r="M53" t="s">
        <v>3273</v>
      </c>
      <c r="N53" s="1" t="s">
        <v>3274</v>
      </c>
      <c r="O53" t="s">
        <v>261</v>
      </c>
      <c r="P53" t="s">
        <v>262</v>
      </c>
      <c r="Q53" s="10"/>
      <c r="Y53" s="2">
        <v>45078</v>
      </c>
      <c r="Z53" t="s">
        <v>15</v>
      </c>
      <c r="AA53" t="s">
        <v>259</v>
      </c>
      <c r="AB53" s="1" t="s">
        <v>1273</v>
      </c>
    </row>
    <row r="54" spans="1:28" ht="25">
      <c r="A54">
        <v>54</v>
      </c>
      <c r="B54">
        <v>3</v>
      </c>
      <c r="C54" t="s">
        <v>3503</v>
      </c>
      <c r="E54" s="1" t="s">
        <v>1587</v>
      </c>
      <c r="F54" t="s">
        <v>1472</v>
      </c>
      <c r="J54" s="18">
        <v>4440015</v>
      </c>
      <c r="K54">
        <v>23</v>
      </c>
      <c r="L54" t="s">
        <v>63</v>
      </c>
      <c r="M54" t="s">
        <v>3275</v>
      </c>
      <c r="N54" s="1" t="s">
        <v>3276</v>
      </c>
      <c r="Q54" s="10" t="s">
        <v>300</v>
      </c>
      <c r="S54" t="s">
        <v>301</v>
      </c>
      <c r="Y54" s="2">
        <v>45017</v>
      </c>
      <c r="AA54" t="s">
        <v>299</v>
      </c>
      <c r="AB54" s="1" t="s">
        <v>1280</v>
      </c>
    </row>
    <row r="55" spans="1:28" ht="25">
      <c r="A55">
        <v>55</v>
      </c>
      <c r="B55">
        <v>0</v>
      </c>
      <c r="C55" t="s">
        <v>349</v>
      </c>
      <c r="D55" t="s">
        <v>15</v>
      </c>
      <c r="E55" s="1" t="s">
        <v>1588</v>
      </c>
      <c r="F55" t="s">
        <v>1473</v>
      </c>
      <c r="J55" s="18">
        <v>5300001</v>
      </c>
      <c r="K55">
        <v>27</v>
      </c>
      <c r="L55" t="s">
        <v>44</v>
      </c>
      <c r="M55" t="s">
        <v>3157</v>
      </c>
      <c r="N55" s="1"/>
      <c r="O55" t="s">
        <v>351</v>
      </c>
      <c r="Q55" s="10" t="s">
        <v>352</v>
      </c>
      <c r="S55" t="s">
        <v>353</v>
      </c>
      <c r="Y55" s="2">
        <v>45108</v>
      </c>
      <c r="Z55" t="s">
        <v>15</v>
      </c>
      <c r="AA55" t="s">
        <v>350</v>
      </c>
      <c r="AB55" s="1" t="s">
        <v>1289</v>
      </c>
    </row>
    <row r="56" spans="1:28" ht="25">
      <c r="A56">
        <v>56</v>
      </c>
      <c r="B56">
        <v>0</v>
      </c>
      <c r="C56" t="s">
        <v>232</v>
      </c>
      <c r="D56" t="s">
        <v>15</v>
      </c>
      <c r="E56" s="1" t="s">
        <v>1563</v>
      </c>
      <c r="F56" t="s">
        <v>1474</v>
      </c>
      <c r="J56" s="18">
        <v>4440852</v>
      </c>
      <c r="K56">
        <v>23</v>
      </c>
      <c r="L56" t="s">
        <v>63</v>
      </c>
      <c r="M56" t="s">
        <v>3158</v>
      </c>
      <c r="N56" s="1"/>
      <c r="O56" t="s">
        <v>234</v>
      </c>
      <c r="P56" t="s">
        <v>235</v>
      </c>
      <c r="Q56" s="10" t="s">
        <v>236</v>
      </c>
      <c r="S56" t="s">
        <v>237</v>
      </c>
      <c r="Y56" s="2">
        <v>45078</v>
      </c>
      <c r="Z56" t="s">
        <v>15</v>
      </c>
      <c r="AA56" t="s">
        <v>233</v>
      </c>
      <c r="AB56" s="1" t="s">
        <v>1269</v>
      </c>
    </row>
    <row r="57" spans="1:28" ht="25">
      <c r="A57">
        <v>57</v>
      </c>
      <c r="B57">
        <v>0</v>
      </c>
      <c r="C57" t="s">
        <v>342</v>
      </c>
      <c r="D57" t="s">
        <v>1673</v>
      </c>
      <c r="E57" s="1" t="s">
        <v>1705</v>
      </c>
      <c r="F57" t="s">
        <v>1706</v>
      </c>
      <c r="H57" s="1" t="s">
        <v>1589</v>
      </c>
      <c r="I57" t="s">
        <v>1704</v>
      </c>
      <c r="J57" s="18">
        <v>3850055</v>
      </c>
      <c r="K57">
        <v>20</v>
      </c>
      <c r="L57" t="s">
        <v>260</v>
      </c>
      <c r="M57" t="s">
        <v>3159</v>
      </c>
      <c r="N57" s="1"/>
      <c r="O57" t="s">
        <v>345</v>
      </c>
      <c r="P57" t="s">
        <v>346</v>
      </c>
      <c r="Q57" s="10" t="s">
        <v>347</v>
      </c>
      <c r="S57" t="s">
        <v>348</v>
      </c>
      <c r="Y57" s="2">
        <v>45108</v>
      </c>
      <c r="Z57" t="s">
        <v>343</v>
      </c>
      <c r="AA57" s="1" t="s">
        <v>344</v>
      </c>
      <c r="AB57" s="1" t="s">
        <v>1288</v>
      </c>
    </row>
    <row r="58" spans="1:28" ht="25">
      <c r="A58">
        <v>58</v>
      </c>
      <c r="B58">
        <v>0</v>
      </c>
      <c r="C58" t="s">
        <v>274</v>
      </c>
      <c r="D58" t="s">
        <v>22</v>
      </c>
      <c r="E58" s="1" t="s">
        <v>1590</v>
      </c>
      <c r="F58" t="s">
        <v>1707</v>
      </c>
      <c r="J58" s="18" t="s">
        <v>3425</v>
      </c>
      <c r="K58">
        <v>1</v>
      </c>
      <c r="L58" t="s">
        <v>75</v>
      </c>
      <c r="M58" t="s">
        <v>3160</v>
      </c>
      <c r="N58" s="1"/>
      <c r="O58" t="s">
        <v>276</v>
      </c>
      <c r="P58" t="s">
        <v>277</v>
      </c>
      <c r="Q58" s="10"/>
      <c r="S58" t="s">
        <v>278</v>
      </c>
      <c r="Y58" s="2">
        <v>45139</v>
      </c>
      <c r="Z58" t="s">
        <v>22</v>
      </c>
      <c r="AA58" s="1" t="s">
        <v>275</v>
      </c>
      <c r="AB58" s="1" t="s">
        <v>1276</v>
      </c>
    </row>
    <row r="59" spans="1:28" ht="25">
      <c r="A59">
        <v>59</v>
      </c>
      <c r="B59">
        <v>0</v>
      </c>
      <c r="C59" t="s">
        <v>362</v>
      </c>
      <c r="D59" t="s">
        <v>15</v>
      </c>
      <c r="E59" s="1" t="s">
        <v>1591</v>
      </c>
      <c r="F59" t="s">
        <v>1475</v>
      </c>
      <c r="J59" s="18" t="s">
        <v>3426</v>
      </c>
      <c r="K59">
        <v>1</v>
      </c>
      <c r="L59" t="s">
        <v>75</v>
      </c>
      <c r="M59" t="s">
        <v>3161</v>
      </c>
      <c r="N59" s="1"/>
      <c r="O59" t="s">
        <v>364</v>
      </c>
      <c r="P59" t="s">
        <v>365</v>
      </c>
      <c r="Q59" s="10" t="s">
        <v>366</v>
      </c>
      <c r="S59" t="s">
        <v>367</v>
      </c>
      <c r="Y59" s="2">
        <v>45145</v>
      </c>
      <c r="Z59" t="s">
        <v>15</v>
      </c>
      <c r="AA59" t="s">
        <v>363</v>
      </c>
      <c r="AB59" s="1" t="s">
        <v>1291</v>
      </c>
    </row>
    <row r="60" spans="1:28" ht="25">
      <c r="A60">
        <v>60</v>
      </c>
      <c r="B60">
        <v>0</v>
      </c>
      <c r="C60" t="s">
        <v>368</v>
      </c>
      <c r="D60" t="s">
        <v>22</v>
      </c>
      <c r="E60" s="1" t="s">
        <v>1592</v>
      </c>
      <c r="F60" t="s">
        <v>1476</v>
      </c>
      <c r="J60" s="18">
        <v>5140826</v>
      </c>
      <c r="K60">
        <v>24</v>
      </c>
      <c r="L60" t="s">
        <v>370</v>
      </c>
      <c r="M60" t="s">
        <v>3162</v>
      </c>
      <c r="N60" s="1"/>
      <c r="O60" t="s">
        <v>371</v>
      </c>
      <c r="P60" t="s">
        <v>372</v>
      </c>
      <c r="Q60" s="10" t="s">
        <v>373</v>
      </c>
      <c r="S60" t="s">
        <v>374</v>
      </c>
      <c r="Y60" s="2">
        <v>45200</v>
      </c>
      <c r="Z60" t="s">
        <v>22</v>
      </c>
      <c r="AA60" t="s">
        <v>369</v>
      </c>
      <c r="AB60" s="1" t="s">
        <v>1292</v>
      </c>
    </row>
    <row r="61" spans="1:28" ht="37.5">
      <c r="A61">
        <v>61</v>
      </c>
      <c r="B61">
        <v>0</v>
      </c>
      <c r="C61" t="s">
        <v>220</v>
      </c>
      <c r="D61" t="s">
        <v>15</v>
      </c>
      <c r="E61" s="1" t="s">
        <v>1593</v>
      </c>
      <c r="F61" t="s">
        <v>1477</v>
      </c>
      <c r="J61" s="18">
        <v>4110856</v>
      </c>
      <c r="K61">
        <v>22</v>
      </c>
      <c r="L61" t="s">
        <v>222</v>
      </c>
      <c r="M61" t="s">
        <v>3163</v>
      </c>
      <c r="N61" s="1"/>
      <c r="O61" t="s">
        <v>223</v>
      </c>
      <c r="P61" t="s">
        <v>224</v>
      </c>
      <c r="Q61" s="10" t="s">
        <v>225</v>
      </c>
      <c r="S61" s="14" t="s">
        <v>3406</v>
      </c>
      <c r="T61" s="1" t="s">
        <v>3407</v>
      </c>
      <c r="Y61" s="2">
        <v>45200</v>
      </c>
      <c r="Z61" t="s">
        <v>15</v>
      </c>
      <c r="AA61" t="s">
        <v>221</v>
      </c>
      <c r="AB61" s="1" t="s">
        <v>1267</v>
      </c>
    </row>
    <row r="62" spans="1:28" s="7" customFormat="1" ht="37.5">
      <c r="A62" s="7">
        <v>62</v>
      </c>
      <c r="B62" s="7">
        <v>1</v>
      </c>
      <c r="C62" s="7" t="s">
        <v>375</v>
      </c>
      <c r="D62" s="7" t="s">
        <v>15</v>
      </c>
      <c r="E62" s="8" t="s">
        <v>1594</v>
      </c>
      <c r="F62" s="7" t="s">
        <v>1478</v>
      </c>
      <c r="J62" s="19">
        <v>1940035</v>
      </c>
      <c r="K62" s="7">
        <v>13</v>
      </c>
      <c r="L62" s="7" t="s">
        <v>16</v>
      </c>
      <c r="M62" s="7" t="s">
        <v>3164</v>
      </c>
      <c r="N62" s="8" t="s">
        <v>3489</v>
      </c>
      <c r="O62" s="7" t="s">
        <v>377</v>
      </c>
      <c r="P62" s="7" t="s">
        <v>378</v>
      </c>
      <c r="Q62" s="12"/>
      <c r="S62" s="7" t="s">
        <v>379</v>
      </c>
      <c r="Y62" s="9">
        <v>45200</v>
      </c>
      <c r="Z62" s="7" t="s">
        <v>15</v>
      </c>
      <c r="AA62" s="7" t="s">
        <v>376</v>
      </c>
      <c r="AB62" s="8" t="s">
        <v>1293</v>
      </c>
    </row>
    <row r="63" spans="1:28" ht="25">
      <c r="A63">
        <v>63</v>
      </c>
      <c r="B63">
        <v>0</v>
      </c>
      <c r="C63" t="s">
        <v>386</v>
      </c>
      <c r="D63" t="s">
        <v>15</v>
      </c>
      <c r="E63" s="1" t="s">
        <v>1595</v>
      </c>
      <c r="F63" t="s">
        <v>1479</v>
      </c>
      <c r="J63" s="18">
        <v>4240847</v>
      </c>
      <c r="K63">
        <v>22</v>
      </c>
      <c r="L63" t="s">
        <v>222</v>
      </c>
      <c r="M63" t="s">
        <v>3165</v>
      </c>
      <c r="N63" s="1"/>
      <c r="O63" t="s">
        <v>388</v>
      </c>
      <c r="P63" t="s">
        <v>389</v>
      </c>
      <c r="Q63" s="10" t="s">
        <v>390</v>
      </c>
      <c r="S63" s="14" t="s">
        <v>3404</v>
      </c>
      <c r="T63" s="1" t="s">
        <v>3405</v>
      </c>
      <c r="Y63" s="2">
        <v>45231</v>
      </c>
      <c r="Z63" t="s">
        <v>15</v>
      </c>
      <c r="AA63" t="s">
        <v>387</v>
      </c>
      <c r="AB63" s="1" t="s">
        <v>1295</v>
      </c>
    </row>
    <row r="64" spans="1:28" ht="25">
      <c r="A64">
        <v>64</v>
      </c>
      <c r="B64">
        <v>0</v>
      </c>
      <c r="C64" t="s">
        <v>354</v>
      </c>
      <c r="D64" t="s">
        <v>22</v>
      </c>
      <c r="E64" s="1" t="s">
        <v>1596</v>
      </c>
      <c r="F64" t="s">
        <v>1480</v>
      </c>
      <c r="J64" s="18">
        <v>2010002</v>
      </c>
      <c r="K64">
        <v>13</v>
      </c>
      <c r="L64" t="s">
        <v>16</v>
      </c>
      <c r="M64" t="s">
        <v>3166</v>
      </c>
      <c r="N64" s="1"/>
      <c r="O64" t="s">
        <v>356</v>
      </c>
      <c r="P64" t="s">
        <v>357</v>
      </c>
      <c r="Q64" s="11" t="s">
        <v>358</v>
      </c>
      <c r="R64" s="1"/>
      <c r="S64" t="s">
        <v>359</v>
      </c>
      <c r="V64" t="s">
        <v>360</v>
      </c>
      <c r="W64" t="s">
        <v>361</v>
      </c>
      <c r="Y64" s="2">
        <v>45200</v>
      </c>
      <c r="Z64" t="s">
        <v>22</v>
      </c>
      <c r="AA64" t="s">
        <v>355</v>
      </c>
      <c r="AB64" s="1" t="s">
        <v>1290</v>
      </c>
    </row>
    <row r="65" spans="1:28" ht="25">
      <c r="A65">
        <v>65</v>
      </c>
      <c r="B65">
        <v>0</v>
      </c>
      <c r="C65" t="s">
        <v>392</v>
      </c>
      <c r="D65" t="s">
        <v>15</v>
      </c>
      <c r="E65" s="1" t="s">
        <v>1597</v>
      </c>
      <c r="F65" t="s">
        <v>1481</v>
      </c>
      <c r="J65" s="18">
        <v>4740035</v>
      </c>
      <c r="K65">
        <v>23</v>
      </c>
      <c r="L65" t="s">
        <v>63</v>
      </c>
      <c r="M65" t="s">
        <v>3104</v>
      </c>
      <c r="N65" s="1"/>
      <c r="O65" t="s">
        <v>394</v>
      </c>
      <c r="P65" t="s">
        <v>395</v>
      </c>
      <c r="Q65" s="10"/>
      <c r="V65" t="s">
        <v>396</v>
      </c>
      <c r="W65" s="14" t="s">
        <v>3438</v>
      </c>
      <c r="X65" s="1"/>
      <c r="Y65" s="2">
        <v>45245</v>
      </c>
      <c r="Z65" t="s">
        <v>15</v>
      </c>
      <c r="AA65" t="s">
        <v>393</v>
      </c>
      <c r="AB65" s="1" t="s">
        <v>1296</v>
      </c>
    </row>
    <row r="66" spans="1:28" ht="25">
      <c r="A66">
        <v>66</v>
      </c>
      <c r="B66">
        <v>0</v>
      </c>
      <c r="C66" t="s">
        <v>269</v>
      </c>
      <c r="D66" t="s">
        <v>15</v>
      </c>
      <c r="E66" s="1" t="s">
        <v>1598</v>
      </c>
      <c r="F66" t="s">
        <v>1482</v>
      </c>
      <c r="J66" s="18">
        <v>9200842</v>
      </c>
      <c r="K66">
        <v>17</v>
      </c>
      <c r="L66" t="s">
        <v>159</v>
      </c>
      <c r="M66" t="s">
        <v>3105</v>
      </c>
      <c r="N66" s="1"/>
      <c r="O66" t="s">
        <v>271</v>
      </c>
      <c r="P66" t="s">
        <v>272</v>
      </c>
      <c r="Q66" s="10"/>
      <c r="S66" t="s">
        <v>273</v>
      </c>
      <c r="Y66" s="2">
        <v>45139</v>
      </c>
      <c r="Z66" t="s">
        <v>15</v>
      </c>
      <c r="AA66" t="s">
        <v>270</v>
      </c>
      <c r="AB66" s="1" t="s">
        <v>1275</v>
      </c>
    </row>
    <row r="67" spans="1:28" ht="25">
      <c r="A67">
        <v>67</v>
      </c>
      <c r="B67">
        <v>0</v>
      </c>
      <c r="C67" t="s">
        <v>380</v>
      </c>
      <c r="D67" t="s">
        <v>15</v>
      </c>
      <c r="E67" s="1" t="s">
        <v>1599</v>
      </c>
      <c r="F67" t="s">
        <v>1708</v>
      </c>
      <c r="J67" s="18">
        <v>2700119</v>
      </c>
      <c r="K67">
        <v>12</v>
      </c>
      <c r="L67" t="s">
        <v>85</v>
      </c>
      <c r="M67" t="s">
        <v>3106</v>
      </c>
      <c r="N67" s="1"/>
      <c r="O67" t="s">
        <v>382</v>
      </c>
      <c r="P67" t="s">
        <v>383</v>
      </c>
      <c r="Q67" s="10" t="s">
        <v>384</v>
      </c>
      <c r="S67" t="s">
        <v>385</v>
      </c>
      <c r="Y67" s="2">
        <v>45261</v>
      </c>
      <c r="Z67" t="s">
        <v>15</v>
      </c>
      <c r="AA67" s="1" t="s">
        <v>381</v>
      </c>
      <c r="AB67" s="1" t="s">
        <v>1294</v>
      </c>
    </row>
    <row r="68" spans="1:28" ht="25">
      <c r="A68" s="7">
        <v>68</v>
      </c>
      <c r="B68" s="7">
        <v>1</v>
      </c>
      <c r="C68" s="7" t="s">
        <v>398</v>
      </c>
      <c r="D68" s="7" t="s">
        <v>22</v>
      </c>
      <c r="E68" s="8" t="s">
        <v>1600</v>
      </c>
      <c r="F68" s="7" t="s">
        <v>1483</v>
      </c>
      <c r="G68" s="7" t="s">
        <v>15</v>
      </c>
      <c r="H68" s="8" t="s">
        <v>3086</v>
      </c>
      <c r="I68" s="7" t="s">
        <v>1544</v>
      </c>
      <c r="J68" s="19" t="s">
        <v>3427</v>
      </c>
      <c r="K68" s="7">
        <v>1</v>
      </c>
      <c r="L68" s="7" t="s">
        <v>75</v>
      </c>
      <c r="M68" s="7" t="s">
        <v>3167</v>
      </c>
      <c r="N68" s="8" t="s">
        <v>3483</v>
      </c>
      <c r="O68" s="7" t="s">
        <v>400</v>
      </c>
      <c r="P68" s="7" t="s">
        <v>401</v>
      </c>
      <c r="Q68" s="12"/>
      <c r="R68" s="7"/>
      <c r="S68" s="16" t="s">
        <v>3402</v>
      </c>
      <c r="T68" s="8" t="s">
        <v>3403</v>
      </c>
      <c r="U68" s="7"/>
      <c r="V68" s="7"/>
      <c r="W68" s="7"/>
      <c r="X68" s="7"/>
      <c r="Y68" s="9">
        <v>45292</v>
      </c>
      <c r="Z68" s="7" t="s">
        <v>22</v>
      </c>
      <c r="AA68" s="7" t="s">
        <v>399</v>
      </c>
      <c r="AB68" s="8" t="s">
        <v>1297</v>
      </c>
    </row>
    <row r="69" spans="1:28" ht="25">
      <c r="A69">
        <v>69</v>
      </c>
      <c r="B69">
        <v>0</v>
      </c>
      <c r="C69" t="s">
        <v>227</v>
      </c>
      <c r="D69" t="s">
        <v>15</v>
      </c>
      <c r="E69" s="1" t="s">
        <v>1601</v>
      </c>
      <c r="F69" t="s">
        <v>1484</v>
      </c>
      <c r="J69" s="18">
        <v>4650097</v>
      </c>
      <c r="K69">
        <v>23</v>
      </c>
      <c r="L69" t="s">
        <v>63</v>
      </c>
      <c r="M69" t="s">
        <v>3168</v>
      </c>
      <c r="N69" s="1"/>
      <c r="O69" t="s">
        <v>229</v>
      </c>
      <c r="P69" t="s">
        <v>230</v>
      </c>
      <c r="Q69" s="10"/>
      <c r="S69" t="s">
        <v>231</v>
      </c>
      <c r="Y69" s="2">
        <v>45292</v>
      </c>
      <c r="Z69" t="s">
        <v>15</v>
      </c>
      <c r="AA69" t="s">
        <v>228</v>
      </c>
      <c r="AB69" s="1" t="s">
        <v>1268</v>
      </c>
    </row>
    <row r="70" spans="1:28" ht="25">
      <c r="A70">
        <v>70</v>
      </c>
      <c r="B70">
        <v>0</v>
      </c>
      <c r="C70" t="s">
        <v>404</v>
      </c>
      <c r="D70" t="s">
        <v>15</v>
      </c>
      <c r="E70" s="1" t="s">
        <v>1591</v>
      </c>
      <c r="F70" t="s">
        <v>1485</v>
      </c>
      <c r="J70" s="18">
        <v>6695102</v>
      </c>
      <c r="K70">
        <v>28</v>
      </c>
      <c r="L70" t="s">
        <v>189</v>
      </c>
      <c r="M70" t="s">
        <v>3169</v>
      </c>
      <c r="N70" s="1"/>
      <c r="O70" t="s">
        <v>406</v>
      </c>
      <c r="P70" t="s">
        <v>407</v>
      </c>
      <c r="Q70" s="10" t="s">
        <v>408</v>
      </c>
      <c r="S70" t="s">
        <v>409</v>
      </c>
      <c r="Y70" s="2">
        <v>45292</v>
      </c>
      <c r="Z70" t="s">
        <v>15</v>
      </c>
      <c r="AA70" t="s">
        <v>405</v>
      </c>
      <c r="AB70" s="1" t="s">
        <v>1298</v>
      </c>
    </row>
    <row r="71" spans="1:28" ht="37.5">
      <c r="A71">
        <v>71</v>
      </c>
      <c r="B71">
        <v>0</v>
      </c>
      <c r="C71" t="s">
        <v>410</v>
      </c>
      <c r="D71" s="81" t="s">
        <v>3484</v>
      </c>
      <c r="E71" t="s">
        <v>3485</v>
      </c>
      <c r="F71" t="s">
        <v>3486</v>
      </c>
      <c r="G71" t="s">
        <v>411</v>
      </c>
      <c r="H71" s="1" t="s">
        <v>1602</v>
      </c>
      <c r="I71" t="s">
        <v>1709</v>
      </c>
      <c r="J71" s="18" t="s">
        <v>3428</v>
      </c>
      <c r="K71">
        <v>1</v>
      </c>
      <c r="L71" t="s">
        <v>75</v>
      </c>
      <c r="M71" t="s">
        <v>3170</v>
      </c>
      <c r="N71" s="1" t="s">
        <v>3487</v>
      </c>
      <c r="O71" t="s">
        <v>413</v>
      </c>
      <c r="P71" t="s">
        <v>414</v>
      </c>
      <c r="Q71" s="10" t="s">
        <v>415</v>
      </c>
      <c r="S71" t="s">
        <v>416</v>
      </c>
      <c r="Y71" s="2">
        <v>45295</v>
      </c>
      <c r="Z71" t="s">
        <v>411</v>
      </c>
      <c r="AA71" s="1" t="s">
        <v>412</v>
      </c>
      <c r="AB71" s="1" t="s">
        <v>1299</v>
      </c>
    </row>
    <row r="72" spans="1:28" ht="25">
      <c r="A72">
        <v>72</v>
      </c>
      <c r="B72">
        <v>0</v>
      </c>
      <c r="C72" t="s">
        <v>419</v>
      </c>
      <c r="D72" t="s">
        <v>22</v>
      </c>
      <c r="E72" s="1" t="s">
        <v>1603</v>
      </c>
      <c r="F72" t="s">
        <v>1486</v>
      </c>
      <c r="J72" s="18">
        <v>4250073</v>
      </c>
      <c r="K72">
        <v>22</v>
      </c>
      <c r="L72" t="s">
        <v>222</v>
      </c>
      <c r="M72" t="s">
        <v>3171</v>
      </c>
      <c r="N72" s="1"/>
      <c r="O72" t="s">
        <v>421</v>
      </c>
      <c r="P72" t="s">
        <v>422</v>
      </c>
      <c r="Q72" s="10"/>
      <c r="S72" t="s">
        <v>423</v>
      </c>
      <c r="Y72" s="2">
        <v>45323</v>
      </c>
      <c r="Z72" t="s">
        <v>22</v>
      </c>
      <c r="AA72" t="s">
        <v>420</v>
      </c>
      <c r="AB72" s="1" t="s">
        <v>1300</v>
      </c>
    </row>
    <row r="73" spans="1:28" ht="25">
      <c r="A73">
        <v>73</v>
      </c>
      <c r="B73">
        <v>0</v>
      </c>
      <c r="C73" t="s">
        <v>450</v>
      </c>
      <c r="D73" t="s">
        <v>22</v>
      </c>
      <c r="E73" s="1" t="s">
        <v>1710</v>
      </c>
      <c r="F73" t="s">
        <v>3400</v>
      </c>
      <c r="H73" s="1" t="s">
        <v>1604</v>
      </c>
      <c r="I73" t="s">
        <v>1711</v>
      </c>
      <c r="J73" s="18">
        <v>8500056</v>
      </c>
      <c r="K73">
        <v>42</v>
      </c>
      <c r="L73" t="s">
        <v>31</v>
      </c>
      <c r="M73" t="s">
        <v>3172</v>
      </c>
      <c r="N73" s="1"/>
      <c r="O73" t="s">
        <v>453</v>
      </c>
      <c r="P73" t="s">
        <v>454</v>
      </c>
      <c r="Q73" s="10"/>
      <c r="S73" s="14" t="s">
        <v>3401</v>
      </c>
      <c r="T73" s="1" t="s">
        <v>3399</v>
      </c>
      <c r="Y73" s="2">
        <v>45323</v>
      </c>
      <c r="Z73" t="s">
        <v>451</v>
      </c>
      <c r="AA73" t="s">
        <v>452</v>
      </c>
      <c r="AB73" s="1" t="s">
        <v>1306</v>
      </c>
    </row>
    <row r="74" spans="1:28" ht="25">
      <c r="A74">
        <v>74</v>
      </c>
      <c r="B74">
        <v>0</v>
      </c>
      <c r="C74" t="s">
        <v>456</v>
      </c>
      <c r="D74" t="s">
        <v>457</v>
      </c>
      <c r="E74" s="1" t="s">
        <v>1605</v>
      </c>
      <c r="F74" t="s">
        <v>1487</v>
      </c>
      <c r="J74" s="18">
        <v>8140002</v>
      </c>
      <c r="K74">
        <v>40</v>
      </c>
      <c r="L74" t="s">
        <v>114</v>
      </c>
      <c r="M74" t="s">
        <v>3173</v>
      </c>
      <c r="N74" s="1"/>
      <c r="O74" t="s">
        <v>459</v>
      </c>
      <c r="P74" t="s">
        <v>460</v>
      </c>
      <c r="Q74" s="10" t="s">
        <v>461</v>
      </c>
      <c r="S74" t="s">
        <v>462</v>
      </c>
      <c r="Y74" s="2">
        <v>45336</v>
      </c>
      <c r="Z74" t="s">
        <v>457</v>
      </c>
      <c r="AA74" t="s">
        <v>458</v>
      </c>
      <c r="AB74" s="1" t="s">
        <v>1307</v>
      </c>
    </row>
    <row r="75" spans="1:28" ht="37.5">
      <c r="A75">
        <v>75</v>
      </c>
      <c r="B75">
        <v>0</v>
      </c>
      <c r="C75" t="s">
        <v>435</v>
      </c>
      <c r="D75" t="s">
        <v>15</v>
      </c>
      <c r="E75" s="1" t="s">
        <v>1606</v>
      </c>
      <c r="F75" t="s">
        <v>1488</v>
      </c>
      <c r="J75" s="18">
        <v>2701350</v>
      </c>
      <c r="K75">
        <v>12</v>
      </c>
      <c r="L75" t="s">
        <v>85</v>
      </c>
      <c r="M75" t="s">
        <v>3277</v>
      </c>
      <c r="N75" s="1"/>
      <c r="O75" t="s">
        <v>437</v>
      </c>
      <c r="P75" t="s">
        <v>438</v>
      </c>
      <c r="Q75" s="10"/>
      <c r="S75" t="s">
        <v>439</v>
      </c>
      <c r="Y75" s="2">
        <v>45336</v>
      </c>
      <c r="Z75" t="s">
        <v>15</v>
      </c>
      <c r="AA75" t="s">
        <v>436</v>
      </c>
      <c r="AB75" s="1" t="s">
        <v>1303</v>
      </c>
    </row>
    <row r="76" spans="1:28" ht="25">
      <c r="A76">
        <v>76</v>
      </c>
      <c r="B76">
        <v>0</v>
      </c>
      <c r="C76" t="s">
        <v>3317</v>
      </c>
      <c r="D76" t="s">
        <v>15</v>
      </c>
      <c r="E76" s="1" t="s">
        <v>1607</v>
      </c>
      <c r="F76" t="s">
        <v>1489</v>
      </c>
      <c r="J76" s="18">
        <v>2510024</v>
      </c>
      <c r="K76">
        <v>14</v>
      </c>
      <c r="L76" t="s">
        <v>50</v>
      </c>
      <c r="M76" t="s">
        <v>3107</v>
      </c>
      <c r="N76" s="1"/>
      <c r="O76" t="s">
        <v>430</v>
      </c>
      <c r="P76" t="s">
        <v>431</v>
      </c>
      <c r="Q76" s="10"/>
      <c r="S76" t="s">
        <v>432</v>
      </c>
      <c r="V76" t="s">
        <v>433</v>
      </c>
      <c r="W76" t="s">
        <v>434</v>
      </c>
      <c r="Y76" s="2">
        <v>45352</v>
      </c>
      <c r="Z76" t="s">
        <v>15</v>
      </c>
      <c r="AA76" t="s">
        <v>429</v>
      </c>
      <c r="AB76" s="1" t="s">
        <v>1302</v>
      </c>
    </row>
    <row r="77" spans="1:28" ht="37.5">
      <c r="A77">
        <v>77</v>
      </c>
      <c r="B77">
        <v>0</v>
      </c>
      <c r="C77" t="s">
        <v>3318</v>
      </c>
      <c r="D77" t="s">
        <v>22</v>
      </c>
      <c r="E77" s="1" t="s">
        <v>1562</v>
      </c>
      <c r="F77" t="s">
        <v>1447</v>
      </c>
      <c r="J77" s="18">
        <v>1650032</v>
      </c>
      <c r="K77">
        <v>13</v>
      </c>
      <c r="L77" t="s">
        <v>16</v>
      </c>
      <c r="M77" t="s">
        <v>3278</v>
      </c>
      <c r="N77" s="1" t="s">
        <v>3265</v>
      </c>
      <c r="O77" t="s">
        <v>478</v>
      </c>
      <c r="P77" t="s">
        <v>479</v>
      </c>
      <c r="Q77" s="10"/>
      <c r="S77" t="s">
        <v>480</v>
      </c>
      <c r="V77" t="s">
        <v>481</v>
      </c>
      <c r="W77" t="s">
        <v>482</v>
      </c>
      <c r="Y77" s="2">
        <v>45383</v>
      </c>
      <c r="Z77" t="s">
        <v>22</v>
      </c>
      <c r="AA77" t="s">
        <v>170</v>
      </c>
      <c r="AB77" s="1" t="s">
        <v>1310</v>
      </c>
    </row>
    <row r="78" spans="1:28" ht="37.5">
      <c r="A78">
        <v>78</v>
      </c>
      <c r="B78">
        <v>0</v>
      </c>
      <c r="C78" t="s">
        <v>488</v>
      </c>
      <c r="D78" t="s">
        <v>15</v>
      </c>
      <c r="E78" s="1" t="s">
        <v>1608</v>
      </c>
      <c r="F78" t="s">
        <v>1490</v>
      </c>
      <c r="J78" s="18">
        <v>5610802</v>
      </c>
      <c r="K78">
        <v>27</v>
      </c>
      <c r="L78" t="s">
        <v>44</v>
      </c>
      <c r="M78" t="s">
        <v>3279</v>
      </c>
      <c r="O78" t="s">
        <v>490</v>
      </c>
      <c r="Q78" s="10" t="s">
        <v>491</v>
      </c>
      <c r="S78" t="s">
        <v>492</v>
      </c>
      <c r="Y78" s="2">
        <v>45413</v>
      </c>
      <c r="Z78" t="s">
        <v>15</v>
      </c>
      <c r="AA78" t="s">
        <v>489</v>
      </c>
      <c r="AB78" s="1" t="s">
        <v>1312</v>
      </c>
    </row>
    <row r="79" spans="1:28" ht="25">
      <c r="A79">
        <v>79</v>
      </c>
      <c r="B79">
        <v>0</v>
      </c>
      <c r="C79" t="s">
        <v>3319</v>
      </c>
      <c r="D79" t="s">
        <v>411</v>
      </c>
      <c r="E79" s="1" t="s">
        <v>1609</v>
      </c>
      <c r="F79" t="s">
        <v>1491</v>
      </c>
      <c r="J79" s="18">
        <v>4050018</v>
      </c>
      <c r="K79">
        <v>19</v>
      </c>
      <c r="L79" t="s">
        <v>471</v>
      </c>
      <c r="M79" t="s">
        <v>3174</v>
      </c>
      <c r="N79" s="1"/>
      <c r="O79" t="s">
        <v>472</v>
      </c>
      <c r="P79" t="s">
        <v>473</v>
      </c>
      <c r="Q79" s="10" t="s">
        <v>474</v>
      </c>
      <c r="S79" t="s">
        <v>475</v>
      </c>
      <c r="V79" t="s">
        <v>476</v>
      </c>
      <c r="W79" t="s">
        <v>477</v>
      </c>
      <c r="Y79" s="2">
        <v>45383</v>
      </c>
      <c r="Z79" t="s">
        <v>411</v>
      </c>
      <c r="AA79" t="s">
        <v>470</v>
      </c>
      <c r="AB79" s="1" t="s">
        <v>1309</v>
      </c>
    </row>
    <row r="80" spans="1:28" ht="25">
      <c r="A80">
        <v>80</v>
      </c>
      <c r="B80">
        <v>0</v>
      </c>
      <c r="C80" t="s">
        <v>493</v>
      </c>
      <c r="D80" t="s">
        <v>22</v>
      </c>
      <c r="E80" s="1" t="s">
        <v>1610</v>
      </c>
      <c r="F80" t="s">
        <v>1712</v>
      </c>
      <c r="J80" s="18">
        <v>3350021</v>
      </c>
      <c r="K80">
        <v>11</v>
      </c>
      <c r="L80" t="s">
        <v>240</v>
      </c>
      <c r="M80" t="s">
        <v>3108</v>
      </c>
      <c r="N80" s="1"/>
      <c r="O80" t="s">
        <v>495</v>
      </c>
      <c r="P80" t="s">
        <v>496</v>
      </c>
      <c r="Q80" s="10" t="s">
        <v>497</v>
      </c>
      <c r="S80" t="s">
        <v>498</v>
      </c>
      <c r="Y80" s="2">
        <v>45383</v>
      </c>
      <c r="Z80" t="s">
        <v>15</v>
      </c>
      <c r="AA80" s="1" t="s">
        <v>494</v>
      </c>
      <c r="AB80" s="1" t="s">
        <v>1313</v>
      </c>
    </row>
    <row r="81" spans="1:28" ht="37.5">
      <c r="A81">
        <v>81</v>
      </c>
      <c r="B81">
        <v>0</v>
      </c>
      <c r="C81" t="s">
        <v>424</v>
      </c>
      <c r="D81" t="s">
        <v>15</v>
      </c>
      <c r="E81" s="1" t="s">
        <v>1611</v>
      </c>
      <c r="F81" t="s">
        <v>1492</v>
      </c>
      <c r="J81" s="18">
        <v>1530044</v>
      </c>
      <c r="K81">
        <v>13</v>
      </c>
      <c r="L81" t="s">
        <v>16</v>
      </c>
      <c r="M81" t="s">
        <v>3280</v>
      </c>
      <c r="N81" s="1"/>
      <c r="O81" t="s">
        <v>426</v>
      </c>
      <c r="Q81" s="10" t="s">
        <v>427</v>
      </c>
      <c r="S81" t="s">
        <v>428</v>
      </c>
      <c r="Y81" s="2">
        <v>45413</v>
      </c>
      <c r="Z81" t="s">
        <v>15</v>
      </c>
      <c r="AA81" t="s">
        <v>425</v>
      </c>
      <c r="AB81" s="1" t="s">
        <v>1301</v>
      </c>
    </row>
    <row r="82" spans="1:28" ht="25">
      <c r="A82">
        <v>82</v>
      </c>
      <c r="B82">
        <v>0</v>
      </c>
      <c r="C82" t="s">
        <v>3320</v>
      </c>
      <c r="D82" t="s">
        <v>22</v>
      </c>
      <c r="E82" s="1" t="s">
        <v>1612</v>
      </c>
      <c r="F82" t="s">
        <v>1493</v>
      </c>
      <c r="J82" s="18">
        <v>9830039</v>
      </c>
      <c r="K82">
        <v>4</v>
      </c>
      <c r="L82" t="s">
        <v>484</v>
      </c>
      <c r="M82" t="s">
        <v>3175</v>
      </c>
      <c r="N82" s="1"/>
      <c r="O82" t="s">
        <v>485</v>
      </c>
      <c r="P82" t="s">
        <v>486</v>
      </c>
      <c r="Q82" s="10"/>
      <c r="S82" t="s">
        <v>487</v>
      </c>
      <c r="Y82" s="2">
        <v>45413</v>
      </c>
      <c r="Z82" t="s">
        <v>22</v>
      </c>
      <c r="AA82" t="s">
        <v>483</v>
      </c>
      <c r="AB82" s="1" t="s">
        <v>1311</v>
      </c>
    </row>
    <row r="83" spans="1:28" ht="25">
      <c r="A83">
        <v>83</v>
      </c>
      <c r="B83">
        <v>0</v>
      </c>
      <c r="C83" t="s">
        <v>3321</v>
      </c>
      <c r="D83" t="s">
        <v>22</v>
      </c>
      <c r="E83" s="1" t="s">
        <v>1613</v>
      </c>
      <c r="F83" t="s">
        <v>1494</v>
      </c>
      <c r="J83" s="18">
        <v>4090112</v>
      </c>
      <c r="K83">
        <v>19</v>
      </c>
      <c r="L83" t="s">
        <v>471</v>
      </c>
      <c r="M83" t="s">
        <v>3176</v>
      </c>
      <c r="N83" s="1"/>
      <c r="O83" t="s">
        <v>511</v>
      </c>
      <c r="P83" t="s">
        <v>512</v>
      </c>
      <c r="Q83" s="10" t="s">
        <v>513</v>
      </c>
      <c r="S83" t="s">
        <v>514</v>
      </c>
      <c r="Y83" s="2">
        <v>45413</v>
      </c>
      <c r="Z83" t="s">
        <v>22</v>
      </c>
      <c r="AA83" t="s">
        <v>510</v>
      </c>
      <c r="AB83" s="1" t="s">
        <v>1316</v>
      </c>
    </row>
    <row r="84" spans="1:28" ht="25">
      <c r="A84">
        <v>84</v>
      </c>
      <c r="B84">
        <v>0</v>
      </c>
      <c r="C84" t="s">
        <v>3322</v>
      </c>
      <c r="D84" t="s">
        <v>22</v>
      </c>
      <c r="E84" s="1" t="s">
        <v>1614</v>
      </c>
      <c r="F84" t="s">
        <v>1495</v>
      </c>
      <c r="J84" s="18">
        <v>8550863</v>
      </c>
      <c r="K84">
        <v>42</v>
      </c>
      <c r="L84" t="s">
        <v>31</v>
      </c>
      <c r="M84" t="s">
        <v>3177</v>
      </c>
      <c r="N84" s="1"/>
      <c r="O84" t="s">
        <v>500</v>
      </c>
      <c r="P84" t="s">
        <v>501</v>
      </c>
      <c r="Q84" s="10" t="s">
        <v>502</v>
      </c>
      <c r="S84" t="s">
        <v>503</v>
      </c>
      <c r="Y84" s="2">
        <v>45413</v>
      </c>
      <c r="Z84" t="s">
        <v>22</v>
      </c>
      <c r="AA84" t="s">
        <v>499</v>
      </c>
      <c r="AB84" s="1" t="s">
        <v>1314</v>
      </c>
    </row>
    <row r="85" spans="1:28" ht="25">
      <c r="A85">
        <v>85</v>
      </c>
      <c r="B85">
        <v>0</v>
      </c>
      <c r="C85" t="s">
        <v>504</v>
      </c>
      <c r="D85" t="s">
        <v>15</v>
      </c>
      <c r="E85" s="1" t="s">
        <v>1615</v>
      </c>
      <c r="F85" t="s">
        <v>1496</v>
      </c>
      <c r="J85" s="18">
        <v>5530003</v>
      </c>
      <c r="K85">
        <v>27</v>
      </c>
      <c r="L85" t="s">
        <v>44</v>
      </c>
      <c r="M85" t="s">
        <v>3178</v>
      </c>
      <c r="N85" s="1"/>
      <c r="O85" t="s">
        <v>506</v>
      </c>
      <c r="P85" t="s">
        <v>507</v>
      </c>
      <c r="Q85" s="10" t="s">
        <v>508</v>
      </c>
      <c r="S85" t="s">
        <v>509</v>
      </c>
      <c r="Y85" s="2">
        <v>45443</v>
      </c>
      <c r="Z85" t="s">
        <v>15</v>
      </c>
      <c r="AA85" t="s">
        <v>505</v>
      </c>
      <c r="AB85" s="1" t="s">
        <v>1315</v>
      </c>
    </row>
    <row r="86" spans="1:28" ht="37.5">
      <c r="A86">
        <v>86</v>
      </c>
      <c r="B86">
        <v>0</v>
      </c>
      <c r="C86" t="s">
        <v>3323</v>
      </c>
      <c r="D86" t="s">
        <v>22</v>
      </c>
      <c r="E86" s="1" t="s">
        <v>1616</v>
      </c>
      <c r="F86" t="s">
        <v>1497</v>
      </c>
      <c r="J86" s="18" t="s">
        <v>1426</v>
      </c>
      <c r="K86">
        <v>27</v>
      </c>
      <c r="L86" t="s">
        <v>44</v>
      </c>
      <c r="M86" t="s">
        <v>3179</v>
      </c>
      <c r="N86" s="1"/>
      <c r="O86" t="s">
        <v>516</v>
      </c>
      <c r="P86" t="s">
        <v>517</v>
      </c>
      <c r="Q86" s="10"/>
      <c r="S86" t="s">
        <v>518</v>
      </c>
      <c r="Y86" s="2">
        <v>45444</v>
      </c>
      <c r="Z86" t="s">
        <v>22</v>
      </c>
      <c r="AA86" t="s">
        <v>515</v>
      </c>
      <c r="AB86" s="1" t="s">
        <v>1317</v>
      </c>
    </row>
    <row r="87" spans="1:28" ht="25">
      <c r="A87">
        <v>87</v>
      </c>
      <c r="B87">
        <v>3</v>
      </c>
      <c r="C87" t="s">
        <v>3504</v>
      </c>
      <c r="E87" s="1" t="s">
        <v>1595</v>
      </c>
      <c r="F87" t="s">
        <v>1498</v>
      </c>
      <c r="J87" s="18">
        <v>2240053</v>
      </c>
      <c r="K87">
        <v>14</v>
      </c>
      <c r="L87" t="s">
        <v>50</v>
      </c>
      <c r="M87" t="s">
        <v>3281</v>
      </c>
      <c r="N87" s="1" t="s">
        <v>3282</v>
      </c>
      <c r="Q87" s="10" t="s">
        <v>448</v>
      </c>
      <c r="S87" t="s">
        <v>449</v>
      </c>
      <c r="Y87" s="2">
        <v>45474</v>
      </c>
      <c r="AA87" t="s">
        <v>447</v>
      </c>
      <c r="AB87" s="1" t="s">
        <v>1305</v>
      </c>
    </row>
    <row r="88" spans="1:28" ht="25">
      <c r="A88">
        <v>88</v>
      </c>
      <c r="B88">
        <v>0</v>
      </c>
      <c r="C88" t="s">
        <v>525</v>
      </c>
      <c r="D88" t="s">
        <v>22</v>
      </c>
      <c r="E88" s="1" t="s">
        <v>1617</v>
      </c>
      <c r="F88" t="s">
        <v>1499</v>
      </c>
      <c r="J88" s="18">
        <v>9100859</v>
      </c>
      <c r="K88">
        <v>18</v>
      </c>
      <c r="L88" t="s">
        <v>527</v>
      </c>
      <c r="M88" t="s">
        <v>3180</v>
      </c>
      <c r="N88" s="1"/>
      <c r="O88" t="s">
        <v>528</v>
      </c>
      <c r="P88" t="s">
        <v>529</v>
      </c>
      <c r="Q88" s="11" t="s">
        <v>3331</v>
      </c>
      <c r="R88" s="1" t="s">
        <v>3332</v>
      </c>
      <c r="S88" s="14" t="s">
        <v>3397</v>
      </c>
      <c r="T88" s="14" t="s">
        <v>3398</v>
      </c>
      <c r="Y88" s="2">
        <v>45474</v>
      </c>
      <c r="Z88" t="s">
        <v>22</v>
      </c>
      <c r="AA88" t="s">
        <v>526</v>
      </c>
      <c r="AB88" s="1" t="s">
        <v>1319</v>
      </c>
    </row>
    <row r="89" spans="1:28" ht="25">
      <c r="A89">
        <v>89</v>
      </c>
      <c r="B89">
        <v>0</v>
      </c>
      <c r="C89" t="s">
        <v>519</v>
      </c>
      <c r="D89" t="s">
        <v>1669</v>
      </c>
      <c r="E89" s="1" t="s">
        <v>1618</v>
      </c>
      <c r="F89" t="s">
        <v>1713</v>
      </c>
      <c r="H89" s="1" t="s">
        <v>1618</v>
      </c>
      <c r="I89" t="s">
        <v>1500</v>
      </c>
      <c r="J89" s="18">
        <v>7038265</v>
      </c>
      <c r="K89">
        <v>33</v>
      </c>
      <c r="L89" t="s">
        <v>197</v>
      </c>
      <c r="M89" t="s">
        <v>3181</v>
      </c>
      <c r="N89" s="1"/>
      <c r="O89" t="s">
        <v>522</v>
      </c>
      <c r="P89" t="s">
        <v>523</v>
      </c>
      <c r="Q89" s="10"/>
      <c r="S89" t="s">
        <v>524</v>
      </c>
      <c r="Y89" s="2">
        <v>45474</v>
      </c>
      <c r="Z89" t="s">
        <v>520</v>
      </c>
      <c r="AA89" t="s">
        <v>521</v>
      </c>
      <c r="AB89" s="1" t="s">
        <v>1318</v>
      </c>
    </row>
    <row r="90" spans="1:28" ht="25">
      <c r="A90">
        <v>90</v>
      </c>
      <c r="B90">
        <v>0</v>
      </c>
      <c r="C90" t="s">
        <v>463</v>
      </c>
      <c r="D90" t="s">
        <v>15</v>
      </c>
      <c r="E90" s="1" t="s">
        <v>1575</v>
      </c>
      <c r="F90" t="s">
        <v>1501</v>
      </c>
      <c r="J90" s="18">
        <v>7900056</v>
      </c>
      <c r="K90">
        <v>38</v>
      </c>
      <c r="L90" t="s">
        <v>465</v>
      </c>
      <c r="M90" t="s">
        <v>3182</v>
      </c>
      <c r="N90" s="1"/>
      <c r="O90" t="s">
        <v>466</v>
      </c>
      <c r="P90" t="s">
        <v>467</v>
      </c>
      <c r="Q90" s="10" t="s">
        <v>468</v>
      </c>
      <c r="S90" t="s">
        <v>469</v>
      </c>
      <c r="Y90" s="2">
        <v>45505</v>
      </c>
      <c r="Z90" t="s">
        <v>15</v>
      </c>
      <c r="AA90" t="s">
        <v>464</v>
      </c>
      <c r="AB90" s="1" t="s">
        <v>1308</v>
      </c>
    </row>
    <row r="91" spans="1:28" ht="25">
      <c r="A91">
        <v>91</v>
      </c>
      <c r="B91">
        <v>0</v>
      </c>
      <c r="C91" t="s">
        <v>291</v>
      </c>
      <c r="D91" t="s">
        <v>22</v>
      </c>
      <c r="E91" s="1" t="s">
        <v>1563</v>
      </c>
      <c r="F91" t="s">
        <v>1715</v>
      </c>
      <c r="H91" s="1" t="s">
        <v>1563</v>
      </c>
      <c r="I91" t="s">
        <v>1502</v>
      </c>
      <c r="J91" s="18">
        <v>2130001</v>
      </c>
      <c r="K91">
        <v>14</v>
      </c>
      <c r="L91" t="s">
        <v>50</v>
      </c>
      <c r="M91" t="s">
        <v>3109</v>
      </c>
      <c r="N91" s="1"/>
      <c r="O91" t="s">
        <v>294</v>
      </c>
      <c r="P91" t="s">
        <v>295</v>
      </c>
      <c r="Q91" s="10" t="s">
        <v>296</v>
      </c>
      <c r="S91" t="s">
        <v>297</v>
      </c>
      <c r="Y91" s="2">
        <v>45505</v>
      </c>
      <c r="Z91" t="s">
        <v>1714</v>
      </c>
      <c r="AA91" t="s">
        <v>293</v>
      </c>
      <c r="AB91" s="1" t="s">
        <v>1279</v>
      </c>
    </row>
    <row r="92" spans="1:28" ht="25">
      <c r="A92">
        <v>92</v>
      </c>
      <c r="B92">
        <v>0</v>
      </c>
      <c r="C92" t="s">
        <v>555</v>
      </c>
      <c r="D92" t="s">
        <v>15</v>
      </c>
      <c r="E92" s="1" t="s">
        <v>1619</v>
      </c>
      <c r="F92" t="s">
        <v>1503</v>
      </c>
      <c r="J92" s="18">
        <v>5430056</v>
      </c>
      <c r="K92">
        <v>27</v>
      </c>
      <c r="L92" t="s">
        <v>44</v>
      </c>
      <c r="M92" t="s">
        <v>3283</v>
      </c>
      <c r="N92" s="1"/>
      <c r="O92" t="s">
        <v>557</v>
      </c>
      <c r="Q92" s="10" t="s">
        <v>558</v>
      </c>
      <c r="S92" t="s">
        <v>559</v>
      </c>
      <c r="Y92" s="2">
        <v>45505</v>
      </c>
      <c r="Z92" t="s">
        <v>15</v>
      </c>
      <c r="AA92" t="s">
        <v>556</v>
      </c>
      <c r="AB92" s="1" t="s">
        <v>1324</v>
      </c>
    </row>
    <row r="93" spans="1:28" ht="37.5">
      <c r="A93">
        <v>93</v>
      </c>
      <c r="B93">
        <v>0</v>
      </c>
      <c r="C93" t="s">
        <v>532</v>
      </c>
      <c r="D93" t="s">
        <v>15</v>
      </c>
      <c r="E93" s="1" t="s">
        <v>1620</v>
      </c>
      <c r="F93" t="s">
        <v>1716</v>
      </c>
      <c r="J93" s="18">
        <v>7900011</v>
      </c>
      <c r="K93">
        <v>38</v>
      </c>
      <c r="L93" t="s">
        <v>465</v>
      </c>
      <c r="M93" t="s">
        <v>3284</v>
      </c>
      <c r="N93" s="1"/>
      <c r="O93" t="s">
        <v>534</v>
      </c>
      <c r="Q93" s="10" t="s">
        <v>535</v>
      </c>
      <c r="S93" s="15" t="s">
        <v>3395</v>
      </c>
      <c r="T93" t="s">
        <v>3396</v>
      </c>
      <c r="Y93" s="2">
        <v>45505</v>
      </c>
      <c r="Z93" t="s">
        <v>15</v>
      </c>
      <c r="AA93" s="1" t="s">
        <v>533</v>
      </c>
      <c r="AB93" s="1" t="s">
        <v>1320</v>
      </c>
    </row>
    <row r="94" spans="1:28" ht="25">
      <c r="A94">
        <v>94</v>
      </c>
      <c r="B94">
        <v>0</v>
      </c>
      <c r="C94" t="s">
        <v>550</v>
      </c>
      <c r="E94" s="1" t="s">
        <v>1621</v>
      </c>
      <c r="F94" t="s">
        <v>1504</v>
      </c>
      <c r="J94" s="18">
        <v>3670030</v>
      </c>
      <c r="K94">
        <v>11</v>
      </c>
      <c r="L94" t="s">
        <v>240</v>
      </c>
      <c r="M94" t="s">
        <v>3183</v>
      </c>
      <c r="N94" s="1"/>
      <c r="O94" t="s">
        <v>552</v>
      </c>
      <c r="P94" t="s">
        <v>553</v>
      </c>
      <c r="Q94" s="10"/>
      <c r="S94" t="s">
        <v>554</v>
      </c>
      <c r="Y94" s="2">
        <v>45505</v>
      </c>
      <c r="AA94" t="s">
        <v>551</v>
      </c>
      <c r="AB94" s="1" t="s">
        <v>1323</v>
      </c>
    </row>
    <row r="95" spans="1:28" ht="25">
      <c r="A95">
        <v>95</v>
      </c>
      <c r="B95">
        <v>0</v>
      </c>
      <c r="C95" t="s">
        <v>560</v>
      </c>
      <c r="D95" t="s">
        <v>561</v>
      </c>
      <c r="E95" s="1" t="s">
        <v>1622</v>
      </c>
      <c r="F95" t="s">
        <v>1505</v>
      </c>
      <c r="J95" s="18">
        <v>8730001</v>
      </c>
      <c r="K95">
        <v>44</v>
      </c>
      <c r="L95" t="s">
        <v>57</v>
      </c>
      <c r="M95" t="s">
        <v>3184</v>
      </c>
      <c r="N95" s="1"/>
      <c r="O95" t="s">
        <v>563</v>
      </c>
      <c r="P95" t="s">
        <v>564</v>
      </c>
      <c r="Q95" s="10"/>
      <c r="S95" t="s">
        <v>565</v>
      </c>
      <c r="Y95" s="2">
        <v>45505</v>
      </c>
      <c r="Z95" t="s">
        <v>561</v>
      </c>
      <c r="AA95" t="s">
        <v>562</v>
      </c>
      <c r="AB95" s="1" t="s">
        <v>1325</v>
      </c>
    </row>
    <row r="96" spans="1:28" ht="25">
      <c r="A96">
        <v>96</v>
      </c>
      <c r="B96">
        <v>0</v>
      </c>
      <c r="C96" t="s">
        <v>150</v>
      </c>
      <c r="D96" t="s">
        <v>22</v>
      </c>
      <c r="E96" s="1" t="s">
        <v>1623</v>
      </c>
      <c r="F96" t="s">
        <v>1506</v>
      </c>
      <c r="J96" s="18">
        <v>9502112</v>
      </c>
      <c r="K96">
        <v>15</v>
      </c>
      <c r="L96" t="s">
        <v>152</v>
      </c>
      <c r="M96" t="s">
        <v>3110</v>
      </c>
      <c r="N96" s="1"/>
      <c r="O96" t="s">
        <v>153</v>
      </c>
      <c r="P96" t="s">
        <v>154</v>
      </c>
      <c r="Q96" s="10" t="s">
        <v>155</v>
      </c>
      <c r="S96" t="s">
        <v>156</v>
      </c>
      <c r="Y96" s="2">
        <v>45536</v>
      </c>
      <c r="Z96" t="s">
        <v>22</v>
      </c>
      <c r="AA96" t="s">
        <v>151</v>
      </c>
      <c r="AB96" s="1" t="s">
        <v>1256</v>
      </c>
    </row>
    <row r="97" spans="1:28" ht="25">
      <c r="A97">
        <v>97</v>
      </c>
      <c r="B97">
        <v>0</v>
      </c>
      <c r="C97" t="s">
        <v>571</v>
      </c>
      <c r="D97" t="s">
        <v>15</v>
      </c>
      <c r="E97" s="1" t="s">
        <v>3497</v>
      </c>
      <c r="F97" t="s">
        <v>3496</v>
      </c>
      <c r="J97" s="18">
        <v>8190161</v>
      </c>
      <c r="K97">
        <v>40</v>
      </c>
      <c r="L97" t="s">
        <v>114</v>
      </c>
      <c r="M97" t="s">
        <v>3111</v>
      </c>
      <c r="N97" s="1"/>
      <c r="O97" t="s">
        <v>573</v>
      </c>
      <c r="P97" t="s">
        <v>574</v>
      </c>
      <c r="Q97" s="10"/>
      <c r="S97" t="s">
        <v>575</v>
      </c>
      <c r="Y97" s="2">
        <v>45536</v>
      </c>
      <c r="Z97" t="s">
        <v>15</v>
      </c>
      <c r="AA97" t="s">
        <v>572</v>
      </c>
      <c r="AB97" s="1" t="s">
        <v>1327</v>
      </c>
    </row>
    <row r="98" spans="1:28" ht="25">
      <c r="A98">
        <v>98</v>
      </c>
      <c r="B98">
        <v>0</v>
      </c>
      <c r="C98" t="s">
        <v>566</v>
      </c>
      <c r="D98" t="s">
        <v>15</v>
      </c>
      <c r="E98" s="1" t="s">
        <v>1624</v>
      </c>
      <c r="F98" t="s">
        <v>1507</v>
      </c>
      <c r="J98" s="18">
        <v>2400054</v>
      </c>
      <c r="K98">
        <v>14</v>
      </c>
      <c r="L98" t="s">
        <v>50</v>
      </c>
      <c r="M98" t="s">
        <v>3185</v>
      </c>
      <c r="N98" s="1"/>
      <c r="O98" t="s">
        <v>568</v>
      </c>
      <c r="P98" t="s">
        <v>569</v>
      </c>
      <c r="Q98" s="10" t="s">
        <v>3333</v>
      </c>
      <c r="S98" t="s">
        <v>570</v>
      </c>
      <c r="Y98" s="2">
        <v>45536</v>
      </c>
      <c r="Z98" t="s">
        <v>15</v>
      </c>
      <c r="AA98" t="s">
        <v>567</v>
      </c>
      <c r="AB98" s="1" t="s">
        <v>1326</v>
      </c>
    </row>
    <row r="99" spans="1:28" ht="25">
      <c r="A99">
        <v>99</v>
      </c>
      <c r="B99">
        <v>0</v>
      </c>
      <c r="C99" t="s">
        <v>582</v>
      </c>
      <c r="D99" t="s">
        <v>22</v>
      </c>
      <c r="E99" s="1" t="s">
        <v>1625</v>
      </c>
      <c r="F99" t="s">
        <v>3495</v>
      </c>
      <c r="J99" s="18">
        <v>9100017</v>
      </c>
      <c r="K99">
        <v>18</v>
      </c>
      <c r="L99" t="s">
        <v>527</v>
      </c>
      <c r="M99" t="s">
        <v>3112</v>
      </c>
      <c r="N99" s="1"/>
      <c r="O99" t="s">
        <v>584</v>
      </c>
      <c r="P99" t="s">
        <v>585</v>
      </c>
      <c r="Q99" s="10" t="s">
        <v>3334</v>
      </c>
      <c r="S99" t="s">
        <v>586</v>
      </c>
      <c r="Y99" s="2">
        <v>45566</v>
      </c>
      <c r="Z99" t="s">
        <v>22</v>
      </c>
      <c r="AA99" t="s">
        <v>583</v>
      </c>
      <c r="AB99" s="1" t="s">
        <v>1329</v>
      </c>
    </row>
    <row r="100" spans="1:28" ht="25">
      <c r="A100">
        <v>100</v>
      </c>
      <c r="B100">
        <v>0</v>
      </c>
      <c r="C100" t="s">
        <v>537</v>
      </c>
      <c r="D100" t="s">
        <v>15</v>
      </c>
      <c r="E100" s="1" t="s">
        <v>1626</v>
      </c>
      <c r="F100" t="s">
        <v>1718</v>
      </c>
      <c r="H100" t="s">
        <v>1719</v>
      </c>
      <c r="I100" t="s">
        <v>1508</v>
      </c>
      <c r="J100" s="18">
        <v>4630067</v>
      </c>
      <c r="K100">
        <v>23</v>
      </c>
      <c r="L100" t="s">
        <v>63</v>
      </c>
      <c r="M100" t="s">
        <v>3186</v>
      </c>
      <c r="N100" s="1"/>
      <c r="O100" t="s">
        <v>540</v>
      </c>
      <c r="P100" t="s">
        <v>541</v>
      </c>
      <c r="Q100" s="10" t="s">
        <v>542</v>
      </c>
      <c r="S100" t="s">
        <v>543</v>
      </c>
      <c r="V100" t="s">
        <v>544</v>
      </c>
      <c r="W100" t="s">
        <v>545</v>
      </c>
      <c r="Y100" s="2">
        <v>45566</v>
      </c>
      <c r="Z100" t="s">
        <v>538</v>
      </c>
      <c r="AA100" t="s">
        <v>1717</v>
      </c>
      <c r="AB100" s="1" t="s">
        <v>1321</v>
      </c>
    </row>
    <row r="101" spans="1:28" ht="25">
      <c r="A101">
        <v>101</v>
      </c>
      <c r="B101">
        <v>0</v>
      </c>
      <c r="C101" t="s">
        <v>587</v>
      </c>
      <c r="D101" t="s">
        <v>22</v>
      </c>
      <c r="E101" s="1" t="s">
        <v>1627</v>
      </c>
      <c r="F101" t="s">
        <v>1500</v>
      </c>
      <c r="J101" s="18">
        <v>3430823</v>
      </c>
      <c r="K101">
        <v>11</v>
      </c>
      <c r="L101" t="s">
        <v>240</v>
      </c>
      <c r="M101" t="s">
        <v>3187</v>
      </c>
      <c r="N101" s="1"/>
      <c r="O101" t="s">
        <v>589</v>
      </c>
      <c r="P101" t="s">
        <v>590</v>
      </c>
      <c r="Q101" s="10"/>
      <c r="S101" t="s">
        <v>591</v>
      </c>
      <c r="Y101" s="2">
        <v>45566</v>
      </c>
      <c r="Z101" t="s">
        <v>22</v>
      </c>
      <c r="AA101" t="s">
        <v>588</v>
      </c>
      <c r="AB101" s="1" t="s">
        <v>1330</v>
      </c>
    </row>
    <row r="102" spans="1:28" ht="25">
      <c r="A102">
        <v>102</v>
      </c>
      <c r="B102">
        <v>0</v>
      </c>
      <c r="C102" t="s">
        <v>608</v>
      </c>
      <c r="D102" t="s">
        <v>22</v>
      </c>
      <c r="E102" s="1" t="s">
        <v>3494</v>
      </c>
      <c r="F102" t="s">
        <v>3493</v>
      </c>
      <c r="J102" s="18">
        <v>3861214</v>
      </c>
      <c r="K102">
        <v>20</v>
      </c>
      <c r="L102" t="s">
        <v>260</v>
      </c>
      <c r="M102" t="s">
        <v>3113</v>
      </c>
      <c r="N102" s="1"/>
      <c r="O102" t="s">
        <v>610</v>
      </c>
      <c r="P102" t="s">
        <v>611</v>
      </c>
      <c r="Q102" s="10"/>
      <c r="S102" t="s">
        <v>612</v>
      </c>
      <c r="Y102" s="2">
        <v>45597</v>
      </c>
      <c r="Z102" t="s">
        <v>22</v>
      </c>
      <c r="AA102" t="s">
        <v>609</v>
      </c>
      <c r="AB102" s="1" t="s">
        <v>1333</v>
      </c>
    </row>
    <row r="103" spans="1:28" ht="25">
      <c r="A103">
        <v>103</v>
      </c>
      <c r="B103">
        <v>0</v>
      </c>
      <c r="C103" t="s">
        <v>602</v>
      </c>
      <c r="D103" t="s">
        <v>603</v>
      </c>
      <c r="E103" s="1" t="s">
        <v>1628</v>
      </c>
      <c r="F103" t="s">
        <v>1509</v>
      </c>
      <c r="J103" s="18">
        <v>4860807</v>
      </c>
      <c r="K103">
        <v>23</v>
      </c>
      <c r="L103" t="s">
        <v>63</v>
      </c>
      <c r="M103" t="s">
        <v>3114</v>
      </c>
      <c r="N103" s="1"/>
      <c r="O103" t="s">
        <v>605</v>
      </c>
      <c r="P103" t="s">
        <v>606</v>
      </c>
      <c r="Q103" s="10" t="s">
        <v>3335</v>
      </c>
      <c r="S103" t="s">
        <v>607</v>
      </c>
      <c r="Y103" s="2">
        <v>45574</v>
      </c>
      <c r="Z103" t="s">
        <v>603</v>
      </c>
      <c r="AA103" t="s">
        <v>604</v>
      </c>
      <c r="AB103" s="1" t="s">
        <v>1332</v>
      </c>
    </row>
    <row r="104" spans="1:28" ht="25">
      <c r="A104">
        <v>104</v>
      </c>
      <c r="B104">
        <v>0</v>
      </c>
      <c r="C104" t="s">
        <v>613</v>
      </c>
      <c r="D104" t="s">
        <v>603</v>
      </c>
      <c r="E104" t="s">
        <v>1643</v>
      </c>
      <c r="F104" t="s">
        <v>1721</v>
      </c>
      <c r="H104" s="1" t="s">
        <v>1629</v>
      </c>
      <c r="I104" t="s">
        <v>1510</v>
      </c>
      <c r="J104" s="18">
        <v>8540034</v>
      </c>
      <c r="K104">
        <v>42</v>
      </c>
      <c r="L104" t="s">
        <v>31</v>
      </c>
      <c r="M104" t="s">
        <v>3115</v>
      </c>
      <c r="N104" s="1"/>
      <c r="O104" t="s">
        <v>616</v>
      </c>
      <c r="P104" t="s">
        <v>617</v>
      </c>
      <c r="Q104" s="10"/>
      <c r="S104" t="s">
        <v>618</v>
      </c>
      <c r="V104" t="s">
        <v>619</v>
      </c>
      <c r="W104" t="s">
        <v>620</v>
      </c>
      <c r="Y104" s="2">
        <v>45627</v>
      </c>
      <c r="Z104" t="s">
        <v>1720</v>
      </c>
      <c r="AA104" t="s">
        <v>615</v>
      </c>
      <c r="AB104" s="1" t="s">
        <v>1334</v>
      </c>
    </row>
    <row r="105" spans="1:28" ht="25">
      <c r="A105">
        <v>105</v>
      </c>
      <c r="B105">
        <v>0</v>
      </c>
      <c r="C105" t="s">
        <v>592</v>
      </c>
      <c r="E105" s="1" t="s">
        <v>1722</v>
      </c>
      <c r="F105" t="s">
        <v>1723</v>
      </c>
      <c r="J105" s="18">
        <v>4660051</v>
      </c>
      <c r="K105">
        <v>23</v>
      </c>
      <c r="L105" t="s">
        <v>63</v>
      </c>
      <c r="M105" t="s">
        <v>3188</v>
      </c>
      <c r="N105" s="1"/>
      <c r="Q105" s="10" t="s">
        <v>594</v>
      </c>
      <c r="S105" t="s">
        <v>595</v>
      </c>
      <c r="Y105" s="2">
        <v>45614</v>
      </c>
      <c r="AA105" t="s">
        <v>593</v>
      </c>
      <c r="AB105" s="1" t="s">
        <v>1331</v>
      </c>
    </row>
    <row r="106" spans="1:28" ht="25">
      <c r="A106">
        <v>106</v>
      </c>
      <c r="B106">
        <v>0</v>
      </c>
      <c r="C106" t="s">
        <v>626</v>
      </c>
      <c r="D106" t="s">
        <v>15</v>
      </c>
      <c r="E106" s="1" t="s">
        <v>1724</v>
      </c>
      <c r="F106" t="s">
        <v>1725</v>
      </c>
      <c r="J106" s="18">
        <v>6408322</v>
      </c>
      <c r="K106">
        <v>30</v>
      </c>
      <c r="L106" t="s">
        <v>331</v>
      </c>
      <c r="M106" t="s">
        <v>3116</v>
      </c>
      <c r="N106" s="1"/>
      <c r="O106" t="s">
        <v>628</v>
      </c>
      <c r="P106" t="s">
        <v>629</v>
      </c>
      <c r="Q106" s="10" t="s">
        <v>630</v>
      </c>
      <c r="S106" t="s">
        <v>631</v>
      </c>
      <c r="Y106" s="2">
        <v>45627</v>
      </c>
      <c r="Z106" t="s">
        <v>15</v>
      </c>
      <c r="AA106" t="s">
        <v>627</v>
      </c>
      <c r="AB106" s="1" t="s">
        <v>1336</v>
      </c>
    </row>
    <row r="107" spans="1:28">
      <c r="A107">
        <v>107</v>
      </c>
      <c r="B107">
        <v>0</v>
      </c>
      <c r="C107" t="s">
        <v>655</v>
      </c>
      <c r="D107" t="s">
        <v>15</v>
      </c>
      <c r="E107" s="1" t="s">
        <v>1630</v>
      </c>
      <c r="F107" t="s">
        <v>1511</v>
      </c>
      <c r="J107" s="18">
        <v>6360002</v>
      </c>
      <c r="K107">
        <v>29</v>
      </c>
      <c r="L107" t="s">
        <v>38</v>
      </c>
      <c r="M107" t="s">
        <v>3189</v>
      </c>
      <c r="N107" s="1"/>
      <c r="O107" t="s">
        <v>657</v>
      </c>
      <c r="P107" t="s">
        <v>658</v>
      </c>
      <c r="Q107" s="10"/>
      <c r="S107" t="s">
        <v>659</v>
      </c>
      <c r="Y107" s="2">
        <v>45649</v>
      </c>
      <c r="Z107" t="s">
        <v>15</v>
      </c>
      <c r="AA107" t="s">
        <v>656</v>
      </c>
      <c r="AB107" t="s">
        <v>1339</v>
      </c>
    </row>
    <row r="108" spans="1:28" s="82" customFormat="1">
      <c r="A108" s="82">
        <v>108</v>
      </c>
      <c r="B108" s="82">
        <v>2</v>
      </c>
      <c r="C108" s="82" t="s">
        <v>660</v>
      </c>
      <c r="D108" s="82" t="s">
        <v>561</v>
      </c>
      <c r="E108" s="83" t="s">
        <v>1727</v>
      </c>
      <c r="F108" s="82" t="s">
        <v>1728</v>
      </c>
      <c r="J108" s="84">
        <v>1920085</v>
      </c>
      <c r="K108" s="82">
        <v>13</v>
      </c>
      <c r="L108" s="82" t="s">
        <v>16</v>
      </c>
      <c r="M108" s="82" t="s">
        <v>3190</v>
      </c>
      <c r="N108" s="83" t="s">
        <v>3491</v>
      </c>
      <c r="O108" s="82" t="s">
        <v>662</v>
      </c>
      <c r="P108" s="82" t="s">
        <v>663</v>
      </c>
      <c r="Q108" s="85"/>
      <c r="S108" s="86" t="s">
        <v>3380</v>
      </c>
      <c r="T108" s="82" t="s">
        <v>3378</v>
      </c>
      <c r="Y108" s="87">
        <v>45658</v>
      </c>
      <c r="Z108" s="82" t="s">
        <v>561</v>
      </c>
      <c r="AA108" s="82" t="s">
        <v>1726</v>
      </c>
      <c r="AB108" s="82" t="s">
        <v>1340</v>
      </c>
    </row>
    <row r="109" spans="1:28" ht="25">
      <c r="A109">
        <v>109</v>
      </c>
      <c r="B109">
        <v>0</v>
      </c>
      <c r="C109" t="s">
        <v>440</v>
      </c>
      <c r="D109" t="s">
        <v>15</v>
      </c>
      <c r="E109" s="1" t="s">
        <v>1631</v>
      </c>
      <c r="F109" t="s">
        <v>1512</v>
      </c>
      <c r="J109" s="18">
        <v>2310057</v>
      </c>
      <c r="K109">
        <v>14</v>
      </c>
      <c r="L109" t="s">
        <v>50</v>
      </c>
      <c r="M109" t="s">
        <v>3117</v>
      </c>
      <c r="N109" s="1"/>
      <c r="O109" t="s">
        <v>442</v>
      </c>
      <c r="P109" t="s">
        <v>443</v>
      </c>
      <c r="Q109" s="10" t="s">
        <v>444</v>
      </c>
      <c r="S109" t="s">
        <v>445</v>
      </c>
      <c r="Y109" s="2">
        <v>45658</v>
      </c>
      <c r="Z109" t="s">
        <v>15</v>
      </c>
      <c r="AA109" t="s">
        <v>441</v>
      </c>
      <c r="AB109" s="1" t="s">
        <v>1304</v>
      </c>
    </row>
    <row r="110" spans="1:28" ht="50">
      <c r="A110">
        <v>110</v>
      </c>
      <c r="B110">
        <v>0</v>
      </c>
      <c r="C110" t="s">
        <v>3324</v>
      </c>
      <c r="D110" t="s">
        <v>22</v>
      </c>
      <c r="E110" s="1" t="s">
        <v>1632</v>
      </c>
      <c r="F110" t="s">
        <v>1732</v>
      </c>
      <c r="H110" t="s">
        <v>1729</v>
      </c>
      <c r="I110" t="s">
        <v>1730</v>
      </c>
      <c r="J110" s="18">
        <v>5500005</v>
      </c>
      <c r="K110">
        <v>27</v>
      </c>
      <c r="L110" t="s">
        <v>44</v>
      </c>
      <c r="M110" t="s">
        <v>3191</v>
      </c>
      <c r="N110" s="1"/>
      <c r="O110" t="s">
        <v>640</v>
      </c>
      <c r="P110" t="s">
        <v>641</v>
      </c>
      <c r="Q110" s="10" t="s">
        <v>642</v>
      </c>
      <c r="S110" t="s">
        <v>643</v>
      </c>
      <c r="V110" t="s">
        <v>644</v>
      </c>
      <c r="W110" t="s">
        <v>645</v>
      </c>
      <c r="Y110" s="2">
        <v>45658</v>
      </c>
      <c r="Z110" t="s">
        <v>22</v>
      </c>
      <c r="AA110" t="s">
        <v>1731</v>
      </c>
      <c r="AB110" s="1" t="s">
        <v>1337</v>
      </c>
    </row>
    <row r="111" spans="1:28" ht="25">
      <c r="A111">
        <v>111</v>
      </c>
      <c r="B111">
        <v>0</v>
      </c>
      <c r="C111" t="s">
        <v>621</v>
      </c>
      <c r="E111" s="1" t="s">
        <v>1633</v>
      </c>
      <c r="F111" t="s">
        <v>1734</v>
      </c>
      <c r="J111" s="18">
        <v>2940037</v>
      </c>
      <c r="K111">
        <v>12</v>
      </c>
      <c r="L111" t="s">
        <v>85</v>
      </c>
      <c r="M111" t="s">
        <v>3118</v>
      </c>
      <c r="N111" s="1"/>
      <c r="O111" t="s">
        <v>623</v>
      </c>
      <c r="Q111" s="10" t="s">
        <v>624</v>
      </c>
      <c r="S111" t="s">
        <v>625</v>
      </c>
      <c r="Y111" s="2">
        <v>45717</v>
      </c>
      <c r="AA111" t="s">
        <v>1733</v>
      </c>
      <c r="AB111" s="1" t="s">
        <v>1335</v>
      </c>
    </row>
    <row r="112" spans="1:28">
      <c r="A112">
        <v>112</v>
      </c>
      <c r="B112">
        <v>0</v>
      </c>
      <c r="C112" t="s">
        <v>674</v>
      </c>
      <c r="D112" t="s">
        <v>15</v>
      </c>
      <c r="E112" s="1" t="s">
        <v>1450</v>
      </c>
      <c r="F112" t="s">
        <v>1513</v>
      </c>
      <c r="J112" s="18">
        <v>6550051</v>
      </c>
      <c r="K112">
        <v>28</v>
      </c>
      <c r="L112" t="s">
        <v>189</v>
      </c>
      <c r="M112" t="s">
        <v>3192</v>
      </c>
      <c r="N112" s="1"/>
      <c r="O112" t="s">
        <v>676</v>
      </c>
      <c r="P112" t="s">
        <v>677</v>
      </c>
      <c r="Q112" s="10" t="s">
        <v>3336</v>
      </c>
      <c r="S112" t="s">
        <v>678</v>
      </c>
      <c r="Y112" s="2">
        <v>45689</v>
      </c>
      <c r="Z112" t="s">
        <v>15</v>
      </c>
      <c r="AA112" t="s">
        <v>675</v>
      </c>
      <c r="AB112" t="s">
        <v>1342</v>
      </c>
    </row>
    <row r="113" spans="1:28">
      <c r="A113">
        <v>113</v>
      </c>
      <c r="B113">
        <v>0</v>
      </c>
      <c r="C113" t="s">
        <v>679</v>
      </c>
      <c r="D113" t="s">
        <v>15</v>
      </c>
      <c r="E113" s="1" t="s">
        <v>1735</v>
      </c>
      <c r="F113" t="s">
        <v>1736</v>
      </c>
      <c r="J113" s="18">
        <v>2320066</v>
      </c>
      <c r="K113">
        <v>14</v>
      </c>
      <c r="L113" t="s">
        <v>50</v>
      </c>
      <c r="M113" t="s">
        <v>3193</v>
      </c>
      <c r="N113" s="1"/>
      <c r="O113" t="s">
        <v>681</v>
      </c>
      <c r="P113" t="s">
        <v>3308</v>
      </c>
      <c r="Q113" s="10"/>
      <c r="S113" s="15" t="s">
        <v>3381</v>
      </c>
      <c r="T113" t="s">
        <v>3379</v>
      </c>
      <c r="Y113" s="2">
        <v>45701</v>
      </c>
      <c r="Z113" t="s">
        <v>15</v>
      </c>
      <c r="AA113" t="s">
        <v>680</v>
      </c>
      <c r="AB113" t="s">
        <v>1343</v>
      </c>
    </row>
    <row r="114" spans="1:28" ht="25">
      <c r="A114">
        <v>114</v>
      </c>
      <c r="B114">
        <v>0</v>
      </c>
      <c r="C114" t="s">
        <v>650</v>
      </c>
      <c r="D114" t="s">
        <v>15</v>
      </c>
      <c r="E114" s="1" t="s">
        <v>1737</v>
      </c>
      <c r="F114" t="s">
        <v>1738</v>
      </c>
      <c r="J114" s="18">
        <v>4360025</v>
      </c>
      <c r="K114">
        <v>22</v>
      </c>
      <c r="L114" t="s">
        <v>222</v>
      </c>
      <c r="M114" t="s">
        <v>3194</v>
      </c>
      <c r="N114" s="1"/>
      <c r="O114" t="s">
        <v>652</v>
      </c>
      <c r="P114" t="s">
        <v>653</v>
      </c>
      <c r="Q114" s="10"/>
      <c r="S114" t="s">
        <v>654</v>
      </c>
      <c r="Y114" s="2">
        <v>45689</v>
      </c>
      <c r="Z114" t="s">
        <v>15</v>
      </c>
      <c r="AA114" t="s">
        <v>651</v>
      </c>
      <c r="AB114" s="1" t="s">
        <v>1338</v>
      </c>
    </row>
    <row r="115" spans="1:28">
      <c r="A115">
        <v>115</v>
      </c>
      <c r="B115">
        <v>0</v>
      </c>
      <c r="C115" t="s">
        <v>689</v>
      </c>
      <c r="D115" t="s">
        <v>15</v>
      </c>
      <c r="E115" s="1" t="s">
        <v>1634</v>
      </c>
      <c r="F115" t="s">
        <v>1514</v>
      </c>
      <c r="J115" s="18">
        <v>8040067</v>
      </c>
      <c r="K115">
        <v>40</v>
      </c>
      <c r="L115" t="s">
        <v>114</v>
      </c>
      <c r="M115" t="s">
        <v>3195</v>
      </c>
      <c r="N115" s="1"/>
      <c r="O115" t="s">
        <v>691</v>
      </c>
      <c r="P115" t="s">
        <v>692</v>
      </c>
      <c r="Q115" s="10"/>
      <c r="S115" t="s">
        <v>693</v>
      </c>
      <c r="Y115" s="2">
        <v>45717</v>
      </c>
      <c r="Z115" t="s">
        <v>15</v>
      </c>
      <c r="AA115" t="s">
        <v>690</v>
      </c>
      <c r="AB115" t="s">
        <v>1345</v>
      </c>
    </row>
    <row r="116" spans="1:28">
      <c r="A116">
        <v>116</v>
      </c>
      <c r="B116">
        <v>0</v>
      </c>
      <c r="C116" t="s">
        <v>684</v>
      </c>
      <c r="D116" t="s">
        <v>15</v>
      </c>
      <c r="E116" s="1" t="s">
        <v>1635</v>
      </c>
      <c r="F116" t="s">
        <v>1515</v>
      </c>
      <c r="J116" s="18">
        <v>9813620</v>
      </c>
      <c r="K116">
        <v>4</v>
      </c>
      <c r="L116" t="s">
        <v>484</v>
      </c>
      <c r="M116" t="s">
        <v>3196</v>
      </c>
      <c r="N116" s="1"/>
      <c r="O116" t="s">
        <v>686</v>
      </c>
      <c r="P116" t="s">
        <v>687</v>
      </c>
      <c r="Q116" s="10"/>
      <c r="S116" t="s">
        <v>688</v>
      </c>
      <c r="Y116" s="2">
        <v>45717</v>
      </c>
      <c r="Z116" t="s">
        <v>15</v>
      </c>
      <c r="AA116" t="s">
        <v>685</v>
      </c>
      <c r="AB116" t="s">
        <v>1344</v>
      </c>
    </row>
    <row r="117" spans="1:28" ht="25">
      <c r="A117">
        <v>117</v>
      </c>
      <c r="B117">
        <v>0</v>
      </c>
      <c r="C117" t="s">
        <v>632</v>
      </c>
      <c r="D117" t="s">
        <v>633</v>
      </c>
      <c r="E117" s="1" t="s">
        <v>1607</v>
      </c>
      <c r="F117" t="s">
        <v>1489</v>
      </c>
      <c r="J117" s="18" t="s">
        <v>3431</v>
      </c>
      <c r="K117">
        <v>14</v>
      </c>
      <c r="L117" t="s">
        <v>50</v>
      </c>
      <c r="M117" s="1" t="s">
        <v>3286</v>
      </c>
      <c r="N117" s="1" t="s">
        <v>3285</v>
      </c>
      <c r="O117" t="s">
        <v>636</v>
      </c>
      <c r="P117" t="s">
        <v>637</v>
      </c>
      <c r="Q117" s="10"/>
      <c r="S117" t="s">
        <v>638</v>
      </c>
      <c r="V117" t="s">
        <v>433</v>
      </c>
      <c r="W117" t="s">
        <v>434</v>
      </c>
      <c r="Y117" s="2">
        <v>45689</v>
      </c>
      <c r="Z117" t="s">
        <v>633</v>
      </c>
      <c r="AA117" t="s">
        <v>634</v>
      </c>
      <c r="AB117" s="1" t="s">
        <v>635</v>
      </c>
    </row>
    <row r="118" spans="1:28" ht="25">
      <c r="A118">
        <v>118</v>
      </c>
      <c r="B118">
        <v>0</v>
      </c>
      <c r="C118" t="s">
        <v>646</v>
      </c>
      <c r="D118" t="s">
        <v>633</v>
      </c>
      <c r="E118" s="1" t="s">
        <v>1607</v>
      </c>
      <c r="F118" t="s">
        <v>1489</v>
      </c>
      <c r="J118" s="18" t="s">
        <v>3432</v>
      </c>
      <c r="K118">
        <v>27</v>
      </c>
      <c r="L118" t="s">
        <v>44</v>
      </c>
      <c r="M118" s="1" t="s">
        <v>3288</v>
      </c>
      <c r="N118" s="1" t="s">
        <v>3287</v>
      </c>
      <c r="O118" t="s">
        <v>648</v>
      </c>
      <c r="P118" t="s">
        <v>649</v>
      </c>
      <c r="Q118" s="10"/>
      <c r="S118" t="s">
        <v>638</v>
      </c>
      <c r="Y118" s="2">
        <v>45689</v>
      </c>
      <c r="Z118" t="s">
        <v>633</v>
      </c>
      <c r="AA118" t="s">
        <v>634</v>
      </c>
      <c r="AB118" s="1" t="s">
        <v>647</v>
      </c>
    </row>
    <row r="119" spans="1:28" ht="62.5">
      <c r="A119">
        <v>119</v>
      </c>
      <c r="B119">
        <v>0</v>
      </c>
      <c r="C119" t="s">
        <v>721</v>
      </c>
      <c r="D119" t="s">
        <v>15</v>
      </c>
      <c r="E119" s="1" t="s">
        <v>1739</v>
      </c>
      <c r="F119" t="s">
        <v>1516</v>
      </c>
      <c r="J119" s="18" t="s">
        <v>3433</v>
      </c>
      <c r="K119">
        <v>13</v>
      </c>
      <c r="L119" t="s">
        <v>16</v>
      </c>
      <c r="M119" t="s">
        <v>3289</v>
      </c>
      <c r="N119" s="1" t="s">
        <v>3290</v>
      </c>
      <c r="O119" t="s">
        <v>723</v>
      </c>
      <c r="P119" t="s">
        <v>724</v>
      </c>
      <c r="Q119" s="10"/>
      <c r="S119" s="14" t="s">
        <v>3392</v>
      </c>
      <c r="T119" s="1" t="s">
        <v>3393</v>
      </c>
      <c r="Y119" s="2">
        <v>45748</v>
      </c>
      <c r="Z119" t="s">
        <v>15</v>
      </c>
      <c r="AA119" t="s">
        <v>722</v>
      </c>
      <c r="AB119" s="1" t="s">
        <v>1351</v>
      </c>
    </row>
    <row r="120" spans="1:28" ht="62.5">
      <c r="A120">
        <v>120</v>
      </c>
      <c r="B120">
        <v>0</v>
      </c>
      <c r="C120" t="s">
        <v>710</v>
      </c>
      <c r="D120" t="s">
        <v>15</v>
      </c>
      <c r="E120" s="1" t="s">
        <v>1740</v>
      </c>
      <c r="F120" t="s">
        <v>1517</v>
      </c>
      <c r="J120" s="18" t="s">
        <v>3434</v>
      </c>
      <c r="K120">
        <v>13</v>
      </c>
      <c r="L120" t="s">
        <v>16</v>
      </c>
      <c r="M120" t="s">
        <v>3291</v>
      </c>
      <c r="N120" s="1" t="s">
        <v>3290</v>
      </c>
      <c r="O120" t="s">
        <v>712</v>
      </c>
      <c r="P120" t="s">
        <v>713</v>
      </c>
      <c r="Q120" s="10"/>
      <c r="S120" s="15" t="s">
        <v>3382</v>
      </c>
      <c r="T120" t="s">
        <v>3394</v>
      </c>
      <c r="Y120" s="2">
        <v>45748</v>
      </c>
      <c r="Z120" t="s">
        <v>15</v>
      </c>
      <c r="AA120" t="s">
        <v>711</v>
      </c>
      <c r="AB120" s="1" t="s">
        <v>1349</v>
      </c>
    </row>
    <row r="121" spans="1:28" ht="25">
      <c r="A121">
        <v>121</v>
      </c>
      <c r="B121">
        <v>0</v>
      </c>
      <c r="C121" t="s">
        <v>700</v>
      </c>
      <c r="D121" t="s">
        <v>15</v>
      </c>
      <c r="E121" s="1" t="s">
        <v>1741</v>
      </c>
      <c r="F121" t="s">
        <v>1742</v>
      </c>
      <c r="J121" s="18">
        <v>9500905</v>
      </c>
      <c r="K121">
        <v>15</v>
      </c>
      <c r="L121" t="s">
        <v>152</v>
      </c>
      <c r="M121" t="s">
        <v>3197</v>
      </c>
      <c r="N121" s="1"/>
      <c r="O121" t="s">
        <v>702</v>
      </c>
      <c r="P121" t="s">
        <v>703</v>
      </c>
      <c r="Q121" s="10"/>
      <c r="S121" t="s">
        <v>704</v>
      </c>
      <c r="Y121" s="2">
        <v>45717</v>
      </c>
      <c r="Z121" t="s">
        <v>15</v>
      </c>
      <c r="AA121" t="s">
        <v>701</v>
      </c>
      <c r="AB121" s="1" t="s">
        <v>1347</v>
      </c>
    </row>
    <row r="122" spans="1:28">
      <c r="A122">
        <v>122</v>
      </c>
      <c r="B122">
        <v>0</v>
      </c>
      <c r="C122" t="s">
        <v>732</v>
      </c>
      <c r="D122" t="s">
        <v>1669</v>
      </c>
      <c r="E122" s="1" t="s">
        <v>1745</v>
      </c>
      <c r="F122" t="s">
        <v>1512</v>
      </c>
      <c r="G122" t="s">
        <v>1668</v>
      </c>
      <c r="H122" t="s">
        <v>1743</v>
      </c>
      <c r="I122" t="s">
        <v>1744</v>
      </c>
      <c r="J122" s="18">
        <v>2410022</v>
      </c>
      <c r="K122">
        <v>14</v>
      </c>
      <c r="L122" t="s">
        <v>50</v>
      </c>
      <c r="M122" t="s">
        <v>3119</v>
      </c>
      <c r="N122" s="1"/>
      <c r="O122" t="s">
        <v>735</v>
      </c>
      <c r="P122" t="s">
        <v>736</v>
      </c>
      <c r="Q122" s="10"/>
      <c r="S122" t="s">
        <v>737</v>
      </c>
      <c r="Y122" s="2">
        <v>45748</v>
      </c>
      <c r="Z122" t="s">
        <v>1746</v>
      </c>
      <c r="AA122" t="s">
        <v>734</v>
      </c>
      <c r="AB122" t="s">
        <v>1353</v>
      </c>
    </row>
    <row r="123" spans="1:28">
      <c r="A123">
        <v>123</v>
      </c>
      <c r="B123">
        <v>0</v>
      </c>
      <c r="C123" t="s">
        <v>726</v>
      </c>
      <c r="D123" t="s">
        <v>1669</v>
      </c>
      <c r="E123" s="1" t="s">
        <v>1747</v>
      </c>
      <c r="F123" t="s">
        <v>1748</v>
      </c>
      <c r="J123" s="18" t="s">
        <v>3435</v>
      </c>
      <c r="K123">
        <v>14</v>
      </c>
      <c r="L123" t="s">
        <v>50</v>
      </c>
      <c r="M123" t="s">
        <v>3292</v>
      </c>
      <c r="N123" s="1"/>
      <c r="O123" t="s">
        <v>728</v>
      </c>
      <c r="P123" t="s">
        <v>729</v>
      </c>
      <c r="Q123" s="10" t="s">
        <v>730</v>
      </c>
      <c r="S123" t="s">
        <v>731</v>
      </c>
      <c r="Y123" s="2">
        <v>45748</v>
      </c>
      <c r="Z123" t="s">
        <v>15</v>
      </c>
      <c r="AA123" t="s">
        <v>727</v>
      </c>
      <c r="AB123" t="s">
        <v>1352</v>
      </c>
    </row>
    <row r="124" spans="1:28">
      <c r="A124">
        <v>124</v>
      </c>
      <c r="B124">
        <v>0</v>
      </c>
      <c r="C124" t="s">
        <v>705</v>
      </c>
      <c r="D124" t="s">
        <v>457</v>
      </c>
      <c r="E124" s="1" t="s">
        <v>1749</v>
      </c>
      <c r="F124" t="s">
        <v>1750</v>
      </c>
      <c r="J124" s="18">
        <v>9500871</v>
      </c>
      <c r="K124">
        <v>15</v>
      </c>
      <c r="L124" t="s">
        <v>152</v>
      </c>
      <c r="M124" t="s">
        <v>3198</v>
      </c>
      <c r="N124" s="1"/>
      <c r="O124" t="s">
        <v>707</v>
      </c>
      <c r="P124" t="s">
        <v>708</v>
      </c>
      <c r="Q124" s="10" t="s">
        <v>3337</v>
      </c>
      <c r="S124" t="s">
        <v>709</v>
      </c>
      <c r="Y124" s="2">
        <v>45748</v>
      </c>
      <c r="Z124" t="s">
        <v>457</v>
      </c>
      <c r="AA124" t="s">
        <v>706</v>
      </c>
      <c r="AB124" t="s">
        <v>1348</v>
      </c>
    </row>
    <row r="125" spans="1:28" ht="25">
      <c r="A125">
        <v>125</v>
      </c>
      <c r="B125">
        <v>0</v>
      </c>
      <c r="C125" t="s">
        <v>753</v>
      </c>
      <c r="D125" t="s">
        <v>15</v>
      </c>
      <c r="E125" s="1" t="s">
        <v>1710</v>
      </c>
      <c r="F125" t="s">
        <v>1751</v>
      </c>
      <c r="J125" s="18">
        <v>8100801</v>
      </c>
      <c r="K125">
        <v>40</v>
      </c>
      <c r="L125" t="s">
        <v>114</v>
      </c>
      <c r="M125" t="s">
        <v>3120</v>
      </c>
      <c r="N125" s="1"/>
      <c r="O125" t="s">
        <v>755</v>
      </c>
      <c r="P125" t="s">
        <v>756</v>
      </c>
      <c r="Q125" s="10"/>
      <c r="S125" t="s">
        <v>757</v>
      </c>
      <c r="Y125" s="2">
        <v>45748</v>
      </c>
      <c r="Z125" t="s">
        <v>15</v>
      </c>
      <c r="AA125" t="s">
        <v>754</v>
      </c>
      <c r="AB125" s="1" t="s">
        <v>1356</v>
      </c>
    </row>
    <row r="126" spans="1:28" s="7" customFormat="1" ht="25">
      <c r="A126" s="7">
        <v>126</v>
      </c>
      <c r="B126" s="7">
        <v>1</v>
      </c>
      <c r="C126" s="7" t="s">
        <v>748</v>
      </c>
      <c r="E126" s="8" t="s">
        <v>1752</v>
      </c>
      <c r="F126" s="7" t="s">
        <v>1753</v>
      </c>
      <c r="J126" s="19">
        <v>8180135</v>
      </c>
      <c r="K126" s="7">
        <v>40</v>
      </c>
      <c r="L126" s="7" t="s">
        <v>114</v>
      </c>
      <c r="M126" s="7" t="s">
        <v>3199</v>
      </c>
      <c r="N126" s="8" t="s">
        <v>3488</v>
      </c>
      <c r="Q126" s="12" t="s">
        <v>751</v>
      </c>
      <c r="S126" s="7" t="s">
        <v>752</v>
      </c>
      <c r="Y126" s="9">
        <v>45748</v>
      </c>
      <c r="AA126" s="7" t="s">
        <v>749</v>
      </c>
      <c r="AB126" s="8" t="s">
        <v>750</v>
      </c>
    </row>
    <row r="127" spans="1:28" ht="25">
      <c r="A127">
        <v>127</v>
      </c>
      <c r="B127">
        <v>0</v>
      </c>
      <c r="C127" t="s">
        <v>743</v>
      </c>
      <c r="D127" t="s">
        <v>15</v>
      </c>
      <c r="E127" s="1" t="s">
        <v>2991</v>
      </c>
      <c r="F127" t="s">
        <v>2992</v>
      </c>
      <c r="J127" s="18">
        <v>5320005</v>
      </c>
      <c r="K127">
        <v>27</v>
      </c>
      <c r="L127" t="s">
        <v>44</v>
      </c>
      <c r="M127" t="s">
        <v>3200</v>
      </c>
      <c r="N127" s="1"/>
      <c r="O127" t="s">
        <v>745</v>
      </c>
      <c r="P127" t="s">
        <v>746</v>
      </c>
      <c r="Q127" s="10"/>
      <c r="S127" t="s">
        <v>747</v>
      </c>
      <c r="Y127" s="2">
        <v>45748</v>
      </c>
      <c r="Z127" t="s">
        <v>15</v>
      </c>
      <c r="AA127" t="s">
        <v>744</v>
      </c>
      <c r="AB127" s="1" t="s">
        <v>1355</v>
      </c>
    </row>
    <row r="128" spans="1:28" ht="25">
      <c r="A128">
        <v>128</v>
      </c>
      <c r="B128">
        <v>0</v>
      </c>
      <c r="C128" t="s">
        <v>576</v>
      </c>
      <c r="D128" t="s">
        <v>561</v>
      </c>
      <c r="E128" s="1" t="s">
        <v>1636</v>
      </c>
      <c r="F128" t="s">
        <v>2994</v>
      </c>
      <c r="J128" s="18">
        <v>6600861</v>
      </c>
      <c r="K128">
        <v>28</v>
      </c>
      <c r="L128" t="s">
        <v>189</v>
      </c>
      <c r="M128" t="s">
        <v>3121</v>
      </c>
      <c r="N128" s="1"/>
      <c r="O128" t="s">
        <v>578</v>
      </c>
      <c r="P128" t="s">
        <v>579</v>
      </c>
      <c r="Q128" s="10" t="s">
        <v>580</v>
      </c>
      <c r="S128" s="15" t="s">
        <v>3383</v>
      </c>
      <c r="T128" t="s">
        <v>3384</v>
      </c>
      <c r="Y128" s="2">
        <v>45748</v>
      </c>
      <c r="Z128" t="s">
        <v>561</v>
      </c>
      <c r="AA128" t="s">
        <v>2993</v>
      </c>
      <c r="AB128" s="1" t="s">
        <v>1328</v>
      </c>
    </row>
    <row r="129" spans="1:28">
      <c r="A129">
        <v>129</v>
      </c>
      <c r="B129">
        <v>0</v>
      </c>
      <c r="C129" t="s">
        <v>715</v>
      </c>
      <c r="D129" t="s">
        <v>15</v>
      </c>
      <c r="E129" s="1" t="s">
        <v>2995</v>
      </c>
      <c r="F129" t="s">
        <v>2996</v>
      </c>
      <c r="J129" s="18">
        <v>5380053</v>
      </c>
      <c r="K129">
        <v>27</v>
      </c>
      <c r="L129" t="s">
        <v>44</v>
      </c>
      <c r="M129" t="s">
        <v>3293</v>
      </c>
      <c r="N129" s="1"/>
      <c r="O129" t="s">
        <v>717</v>
      </c>
      <c r="P129" t="s">
        <v>718</v>
      </c>
      <c r="Q129" s="10" t="s">
        <v>719</v>
      </c>
      <c r="S129" t="s">
        <v>720</v>
      </c>
      <c r="Y129" s="2">
        <v>45750</v>
      </c>
      <c r="Z129" t="s">
        <v>15</v>
      </c>
      <c r="AA129" t="s">
        <v>716</v>
      </c>
      <c r="AB129" t="s">
        <v>1350</v>
      </c>
    </row>
    <row r="130" spans="1:28" ht="25">
      <c r="A130">
        <v>130</v>
      </c>
      <c r="B130">
        <v>0</v>
      </c>
      <c r="C130" t="s">
        <v>801</v>
      </c>
      <c r="E130" s="1" t="s">
        <v>2997</v>
      </c>
      <c r="F130" t="s">
        <v>2998</v>
      </c>
      <c r="J130" s="18">
        <v>3100853</v>
      </c>
      <c r="K130">
        <v>8</v>
      </c>
      <c r="L130" t="s">
        <v>803</v>
      </c>
      <c r="M130" t="s">
        <v>3201</v>
      </c>
      <c r="N130" s="1"/>
      <c r="O130" t="s">
        <v>804</v>
      </c>
      <c r="P130" t="s">
        <v>805</v>
      </c>
      <c r="Q130" s="10" t="s">
        <v>3338</v>
      </c>
      <c r="S130" t="s">
        <v>806</v>
      </c>
      <c r="Y130" s="2">
        <v>45778</v>
      </c>
      <c r="AA130" t="s">
        <v>802</v>
      </c>
      <c r="AB130" s="1" t="s">
        <v>1364</v>
      </c>
    </row>
    <row r="131" spans="1:28">
      <c r="A131">
        <v>131</v>
      </c>
      <c r="B131">
        <v>0</v>
      </c>
      <c r="C131" t="s">
        <v>807</v>
      </c>
      <c r="D131" t="s">
        <v>15</v>
      </c>
      <c r="E131" s="1" t="s">
        <v>2999</v>
      </c>
      <c r="F131" t="s">
        <v>3000</v>
      </c>
      <c r="J131" s="18">
        <v>4200871</v>
      </c>
      <c r="K131">
        <v>22</v>
      </c>
      <c r="L131" t="s">
        <v>222</v>
      </c>
      <c r="M131" t="s">
        <v>3202</v>
      </c>
      <c r="N131" s="1"/>
      <c r="O131" t="s">
        <v>809</v>
      </c>
      <c r="P131" t="s">
        <v>810</v>
      </c>
      <c r="Q131" s="10" t="s">
        <v>811</v>
      </c>
      <c r="S131" t="s">
        <v>812</v>
      </c>
      <c r="Y131" s="2">
        <v>45778</v>
      </c>
      <c r="Z131" t="s">
        <v>15</v>
      </c>
      <c r="AA131" t="s">
        <v>808</v>
      </c>
      <c r="AB131" t="s">
        <v>1365</v>
      </c>
    </row>
    <row r="132" spans="1:28">
      <c r="A132">
        <v>132</v>
      </c>
      <c r="B132">
        <v>0</v>
      </c>
      <c r="C132" t="s">
        <v>781</v>
      </c>
      <c r="D132" t="s">
        <v>15</v>
      </c>
      <c r="E132" s="1" t="s">
        <v>3001</v>
      </c>
      <c r="F132" t="s">
        <v>3002</v>
      </c>
      <c r="J132" s="18">
        <v>4030005</v>
      </c>
      <c r="K132">
        <v>19</v>
      </c>
      <c r="L132" t="s">
        <v>471</v>
      </c>
      <c r="M132" t="s">
        <v>3203</v>
      </c>
      <c r="N132" s="1"/>
      <c r="O132" t="s">
        <v>783</v>
      </c>
      <c r="P132" t="s">
        <v>784</v>
      </c>
      <c r="Q132" s="10"/>
      <c r="S132" t="s">
        <v>785</v>
      </c>
      <c r="Y132" s="2">
        <v>45778</v>
      </c>
      <c r="Z132" t="s">
        <v>15</v>
      </c>
      <c r="AA132" t="s">
        <v>782</v>
      </c>
      <c r="AB132" t="s">
        <v>1361</v>
      </c>
    </row>
    <row r="133" spans="1:28" ht="25">
      <c r="A133">
        <v>133</v>
      </c>
      <c r="B133">
        <v>0</v>
      </c>
      <c r="C133" t="s">
        <v>786</v>
      </c>
      <c r="D133" t="s">
        <v>15</v>
      </c>
      <c r="E133" s="1" t="s">
        <v>3003</v>
      </c>
      <c r="F133" t="s">
        <v>3004</v>
      </c>
      <c r="H133" t="s">
        <v>3005</v>
      </c>
      <c r="I133" t="s">
        <v>3006</v>
      </c>
      <c r="J133" s="18">
        <v>1330043</v>
      </c>
      <c r="K133">
        <v>13</v>
      </c>
      <c r="L133" t="s">
        <v>16</v>
      </c>
      <c r="M133" t="s">
        <v>3204</v>
      </c>
      <c r="N133" s="1"/>
      <c r="O133" t="s">
        <v>788</v>
      </c>
      <c r="P133" t="s">
        <v>789</v>
      </c>
      <c r="Q133" s="10" t="s">
        <v>790</v>
      </c>
      <c r="S133" t="s">
        <v>791</v>
      </c>
      <c r="V133" t="s">
        <v>792</v>
      </c>
      <c r="W133" t="s">
        <v>793</v>
      </c>
      <c r="Y133" s="2">
        <v>45778</v>
      </c>
      <c r="Z133" t="s">
        <v>15</v>
      </c>
      <c r="AA133" t="s">
        <v>787</v>
      </c>
      <c r="AB133" s="1" t="s">
        <v>1362</v>
      </c>
    </row>
    <row r="134" spans="1:28" ht="25">
      <c r="A134">
        <v>134</v>
      </c>
      <c r="B134">
        <v>0</v>
      </c>
      <c r="C134" t="s">
        <v>3325</v>
      </c>
      <c r="D134" t="s">
        <v>561</v>
      </c>
      <c r="E134" s="1" t="s">
        <v>3007</v>
      </c>
      <c r="F134" t="s">
        <v>3008</v>
      </c>
      <c r="J134" s="18">
        <v>8900053</v>
      </c>
      <c r="K134">
        <v>46</v>
      </c>
      <c r="L134" t="s">
        <v>247</v>
      </c>
      <c r="M134" t="s">
        <v>3294</v>
      </c>
      <c r="N134" s="1"/>
      <c r="O134" t="s">
        <v>778</v>
      </c>
      <c r="P134" t="s">
        <v>779</v>
      </c>
      <c r="Q134" s="10"/>
      <c r="S134" t="s">
        <v>780</v>
      </c>
      <c r="Y134" s="2">
        <v>45778</v>
      </c>
      <c r="Z134" t="s">
        <v>561</v>
      </c>
      <c r="AA134" t="s">
        <v>777</v>
      </c>
      <c r="AB134" s="1" t="s">
        <v>1360</v>
      </c>
    </row>
    <row r="135" spans="1:28" ht="25">
      <c r="A135">
        <v>135</v>
      </c>
      <c r="B135">
        <v>0</v>
      </c>
      <c r="C135" t="s">
        <v>772</v>
      </c>
      <c r="D135" t="s">
        <v>15</v>
      </c>
      <c r="E135" s="1" t="s">
        <v>3009</v>
      </c>
      <c r="F135" t="s">
        <v>3010</v>
      </c>
      <c r="J135" s="18" t="s">
        <v>3436</v>
      </c>
      <c r="K135">
        <v>14</v>
      </c>
      <c r="L135" t="s">
        <v>50</v>
      </c>
      <c r="M135" t="s">
        <v>3295</v>
      </c>
      <c r="N135" s="1"/>
      <c r="O135" t="s">
        <v>774</v>
      </c>
      <c r="P135" t="s">
        <v>775</v>
      </c>
      <c r="Q135" s="10"/>
      <c r="S135" t="s">
        <v>776</v>
      </c>
      <c r="Y135" s="2">
        <v>45796</v>
      </c>
      <c r="Z135" t="s">
        <v>15</v>
      </c>
      <c r="AA135" t="s">
        <v>773</v>
      </c>
      <c r="AB135" s="1" t="s">
        <v>1359</v>
      </c>
    </row>
    <row r="136" spans="1:28" ht="25">
      <c r="A136">
        <v>136</v>
      </c>
      <c r="B136">
        <v>0</v>
      </c>
      <c r="C136" t="s">
        <v>758</v>
      </c>
      <c r="D136" t="s">
        <v>15</v>
      </c>
      <c r="E136" s="1" t="s">
        <v>3011</v>
      </c>
      <c r="F136" t="s">
        <v>3012</v>
      </c>
      <c r="J136" s="18">
        <v>2580029</v>
      </c>
      <c r="K136">
        <v>14</v>
      </c>
      <c r="L136" t="s">
        <v>50</v>
      </c>
      <c r="M136" t="s">
        <v>3122</v>
      </c>
      <c r="N136" s="1"/>
      <c r="O136" t="s">
        <v>760</v>
      </c>
      <c r="P136" t="s">
        <v>761</v>
      </c>
      <c r="Q136" s="10" t="s">
        <v>762</v>
      </c>
      <c r="S136" t="s">
        <v>763</v>
      </c>
      <c r="Y136" s="2">
        <v>45796</v>
      </c>
      <c r="Z136" t="s">
        <v>15</v>
      </c>
      <c r="AA136" t="s">
        <v>759</v>
      </c>
      <c r="AB136" s="1" t="s">
        <v>1357</v>
      </c>
    </row>
    <row r="137" spans="1:28" ht="25">
      <c r="A137">
        <v>137</v>
      </c>
      <c r="B137">
        <v>0</v>
      </c>
      <c r="C137" t="s">
        <v>694</v>
      </c>
      <c r="D137" t="s">
        <v>695</v>
      </c>
      <c r="E137" s="1" t="s">
        <v>1637</v>
      </c>
      <c r="F137" t="s">
        <v>1518</v>
      </c>
      <c r="J137" s="18">
        <v>4600017</v>
      </c>
      <c r="K137">
        <v>23</v>
      </c>
      <c r="L137" t="s">
        <v>63</v>
      </c>
      <c r="M137" t="s">
        <v>3205</v>
      </c>
      <c r="N137" s="1"/>
      <c r="O137" t="s">
        <v>697</v>
      </c>
      <c r="P137" t="s">
        <v>698</v>
      </c>
      <c r="Q137" s="10"/>
      <c r="S137" s="15" t="s">
        <v>3385</v>
      </c>
      <c r="T137" t="s">
        <v>3386</v>
      </c>
      <c r="Y137" s="2">
        <v>45748</v>
      </c>
      <c r="Z137" t="s">
        <v>695</v>
      </c>
      <c r="AA137" t="s">
        <v>696</v>
      </c>
      <c r="AB137" s="1" t="s">
        <v>1346</v>
      </c>
    </row>
    <row r="138" spans="1:28">
      <c r="A138">
        <v>138</v>
      </c>
      <c r="B138">
        <v>0</v>
      </c>
      <c r="C138" t="s">
        <v>3326</v>
      </c>
      <c r="D138" t="s">
        <v>15</v>
      </c>
      <c r="E138" s="1" t="s">
        <v>3013</v>
      </c>
      <c r="F138" t="s">
        <v>3014</v>
      </c>
      <c r="J138" s="18">
        <v>5140823</v>
      </c>
      <c r="K138">
        <v>24</v>
      </c>
      <c r="L138" t="s">
        <v>370</v>
      </c>
      <c r="M138" t="s">
        <v>3206</v>
      </c>
      <c r="N138" s="1"/>
      <c r="O138" t="s">
        <v>831</v>
      </c>
      <c r="P138" t="s">
        <v>832</v>
      </c>
      <c r="Q138" s="10" t="s">
        <v>833</v>
      </c>
      <c r="S138" t="s">
        <v>834</v>
      </c>
      <c r="Y138" s="2">
        <v>45839</v>
      </c>
      <c r="Z138" t="s">
        <v>15</v>
      </c>
      <c r="AA138" t="s">
        <v>830</v>
      </c>
      <c r="AB138" t="s">
        <v>1367</v>
      </c>
    </row>
    <row r="139" spans="1:28" ht="37.5">
      <c r="A139">
        <v>139</v>
      </c>
      <c r="B139">
        <v>0</v>
      </c>
      <c r="C139" t="s">
        <v>856</v>
      </c>
      <c r="D139" t="s">
        <v>15</v>
      </c>
      <c r="E139" s="1" t="s">
        <v>3015</v>
      </c>
      <c r="F139" t="s">
        <v>3016</v>
      </c>
      <c r="J139" s="18">
        <v>2730035</v>
      </c>
      <c r="K139">
        <v>12</v>
      </c>
      <c r="L139" t="s">
        <v>85</v>
      </c>
      <c r="M139" t="s">
        <v>3207</v>
      </c>
      <c r="N139" s="1"/>
      <c r="O139" t="s">
        <v>858</v>
      </c>
      <c r="P139" t="s">
        <v>859</v>
      </c>
      <c r="Q139" s="10" t="s">
        <v>860</v>
      </c>
      <c r="S139" t="s">
        <v>861</v>
      </c>
      <c r="Y139" s="2">
        <v>45809</v>
      </c>
      <c r="Z139" t="s">
        <v>15</v>
      </c>
      <c r="AA139" t="s">
        <v>857</v>
      </c>
      <c r="AB139" s="1" t="s">
        <v>1369</v>
      </c>
    </row>
    <row r="140" spans="1:28">
      <c r="A140">
        <v>140</v>
      </c>
      <c r="B140">
        <v>0</v>
      </c>
      <c r="C140" t="s">
        <v>596</v>
      </c>
      <c r="D140" t="s">
        <v>15</v>
      </c>
      <c r="E140" s="1" t="s">
        <v>1638</v>
      </c>
      <c r="F140" t="s">
        <v>1519</v>
      </c>
      <c r="J140" s="18"/>
      <c r="K140">
        <v>20</v>
      </c>
      <c r="L140" t="s">
        <v>260</v>
      </c>
      <c r="M140" t="s">
        <v>3296</v>
      </c>
      <c r="N140" s="1"/>
      <c r="O140" t="s">
        <v>599</v>
      </c>
      <c r="P140" t="s">
        <v>600</v>
      </c>
      <c r="Q140" s="10"/>
      <c r="S140" t="s">
        <v>601</v>
      </c>
      <c r="Y140" s="2">
        <v>45839</v>
      </c>
      <c r="Z140" t="s">
        <v>15</v>
      </c>
      <c r="AA140" t="s">
        <v>597</v>
      </c>
      <c r="AB140" t="s">
        <v>598</v>
      </c>
    </row>
    <row r="141" spans="1:28" ht="37.5">
      <c r="A141">
        <v>141</v>
      </c>
      <c r="B141">
        <v>0</v>
      </c>
      <c r="C141" t="s">
        <v>738</v>
      </c>
      <c r="D141" t="s">
        <v>1669</v>
      </c>
      <c r="E141" s="1" t="s">
        <v>1639</v>
      </c>
      <c r="F141" t="s">
        <v>1520</v>
      </c>
      <c r="J141" s="18">
        <v>4610011</v>
      </c>
      <c r="K141">
        <v>23</v>
      </c>
      <c r="L141" t="s">
        <v>63</v>
      </c>
      <c r="M141" t="s">
        <v>3208</v>
      </c>
      <c r="N141" s="1"/>
      <c r="O141" t="s">
        <v>740</v>
      </c>
      <c r="Q141" s="10" t="s">
        <v>741</v>
      </c>
      <c r="S141" t="s">
        <v>742</v>
      </c>
      <c r="Y141" s="2">
        <v>45839</v>
      </c>
      <c r="AA141" t="s">
        <v>739</v>
      </c>
      <c r="AB141" s="1" t="s">
        <v>1354</v>
      </c>
    </row>
    <row r="142" spans="1:28">
      <c r="A142">
        <v>142</v>
      </c>
      <c r="B142">
        <v>0</v>
      </c>
      <c r="C142" t="s">
        <v>844</v>
      </c>
      <c r="D142" t="s">
        <v>15</v>
      </c>
      <c r="E142" s="1" t="s">
        <v>3017</v>
      </c>
      <c r="F142" t="s">
        <v>3018</v>
      </c>
      <c r="J142" s="18">
        <v>1530052</v>
      </c>
      <c r="K142">
        <v>13</v>
      </c>
      <c r="L142" t="s">
        <v>16</v>
      </c>
      <c r="M142" t="s">
        <v>3209</v>
      </c>
      <c r="N142" s="1"/>
      <c r="O142" t="s">
        <v>847</v>
      </c>
      <c r="P142" t="s">
        <v>848</v>
      </c>
      <c r="Q142" s="10" t="s">
        <v>849</v>
      </c>
      <c r="S142" t="s">
        <v>850</v>
      </c>
      <c r="Y142" s="2">
        <v>45809</v>
      </c>
      <c r="Z142" t="s">
        <v>15</v>
      </c>
      <c r="AA142" t="s">
        <v>845</v>
      </c>
      <c r="AB142" t="s">
        <v>846</v>
      </c>
    </row>
    <row r="143" spans="1:28">
      <c r="A143">
        <v>143</v>
      </c>
      <c r="B143">
        <v>0</v>
      </c>
      <c r="C143" t="s">
        <v>862</v>
      </c>
      <c r="D143" t="s">
        <v>15</v>
      </c>
      <c r="E143" s="1" t="s">
        <v>3019</v>
      </c>
      <c r="F143" t="s">
        <v>3020</v>
      </c>
      <c r="J143" s="18">
        <v>7050001</v>
      </c>
      <c r="K143">
        <v>33</v>
      </c>
      <c r="L143" t="s">
        <v>197</v>
      </c>
      <c r="M143" t="s">
        <v>3210</v>
      </c>
      <c r="N143" s="1"/>
      <c r="O143" t="s">
        <v>864</v>
      </c>
      <c r="P143" t="s">
        <v>865</v>
      </c>
      <c r="Q143" s="10"/>
      <c r="S143" t="s">
        <v>866</v>
      </c>
      <c r="Y143" s="2">
        <v>45809</v>
      </c>
      <c r="Z143" t="s">
        <v>15</v>
      </c>
      <c r="AA143" t="s">
        <v>863</v>
      </c>
      <c r="AB143" t="s">
        <v>1370</v>
      </c>
    </row>
    <row r="144" spans="1:28">
      <c r="A144">
        <v>144</v>
      </c>
      <c r="B144">
        <v>0</v>
      </c>
      <c r="C144" t="s">
        <v>794</v>
      </c>
      <c r="D144" t="s">
        <v>3501</v>
      </c>
      <c r="E144" s="1" t="s">
        <v>3021</v>
      </c>
      <c r="F144" t="s">
        <v>3022</v>
      </c>
      <c r="J144" s="18">
        <v>6740071</v>
      </c>
      <c r="K144">
        <v>28</v>
      </c>
      <c r="L144" t="s">
        <v>189</v>
      </c>
      <c r="M144" t="s">
        <v>3211</v>
      </c>
      <c r="N144" s="1"/>
      <c r="O144" t="s">
        <v>796</v>
      </c>
      <c r="P144" t="s">
        <v>797</v>
      </c>
      <c r="Q144" s="10" t="s">
        <v>3339</v>
      </c>
      <c r="S144" t="s">
        <v>798</v>
      </c>
      <c r="V144" t="s">
        <v>799</v>
      </c>
      <c r="W144" t="s">
        <v>800</v>
      </c>
      <c r="Y144" s="2">
        <v>45778</v>
      </c>
      <c r="AA144" t="s">
        <v>795</v>
      </c>
      <c r="AB144" t="s">
        <v>1363</v>
      </c>
    </row>
    <row r="145" spans="1:28">
      <c r="A145">
        <v>145</v>
      </c>
      <c r="B145">
        <v>0</v>
      </c>
      <c r="C145" t="s">
        <v>870</v>
      </c>
      <c r="D145" t="s">
        <v>22</v>
      </c>
      <c r="E145" s="1" t="s">
        <v>3023</v>
      </c>
      <c r="F145" t="s">
        <v>3024</v>
      </c>
      <c r="J145" s="18">
        <v>6496256</v>
      </c>
      <c r="K145">
        <v>30</v>
      </c>
      <c r="L145" t="s">
        <v>331</v>
      </c>
      <c r="M145" t="s">
        <v>3123</v>
      </c>
      <c r="N145" s="1"/>
      <c r="O145" t="s">
        <v>872</v>
      </c>
      <c r="P145" t="s">
        <v>873</v>
      </c>
      <c r="Q145" s="10" t="s">
        <v>874</v>
      </c>
      <c r="S145" t="s">
        <v>875</v>
      </c>
      <c r="U145" t="s">
        <v>876</v>
      </c>
      <c r="V145" t="s">
        <v>877</v>
      </c>
      <c r="W145" t="s">
        <v>878</v>
      </c>
      <c r="Y145" s="2">
        <v>45839</v>
      </c>
      <c r="Z145" t="s">
        <v>22</v>
      </c>
      <c r="AA145" t="s">
        <v>871</v>
      </c>
      <c r="AB145" t="s">
        <v>1371</v>
      </c>
    </row>
    <row r="146" spans="1:28">
      <c r="A146">
        <v>146</v>
      </c>
      <c r="B146">
        <v>0</v>
      </c>
      <c r="C146" t="s">
        <v>879</v>
      </c>
      <c r="D146" t="s">
        <v>22</v>
      </c>
      <c r="E146" s="1" t="s">
        <v>3025</v>
      </c>
      <c r="F146" t="s">
        <v>3026</v>
      </c>
      <c r="J146" s="18">
        <v>2310015</v>
      </c>
      <c r="K146">
        <v>14</v>
      </c>
      <c r="L146" t="s">
        <v>50</v>
      </c>
      <c r="M146" t="s">
        <v>3124</v>
      </c>
      <c r="N146" s="1"/>
      <c r="O146" t="s">
        <v>881</v>
      </c>
      <c r="P146" t="s">
        <v>3309</v>
      </c>
      <c r="Q146" s="10" t="s">
        <v>3340</v>
      </c>
      <c r="S146" t="s">
        <v>882</v>
      </c>
      <c r="U146" t="s">
        <v>882</v>
      </c>
      <c r="Y146" s="2">
        <v>45839</v>
      </c>
      <c r="Z146" t="s">
        <v>22</v>
      </c>
      <c r="AA146" t="s">
        <v>880</v>
      </c>
      <c r="AB146" t="s">
        <v>1372</v>
      </c>
    </row>
    <row r="147" spans="1:28">
      <c r="A147">
        <v>147</v>
      </c>
      <c r="B147">
        <v>0</v>
      </c>
      <c r="C147" t="s">
        <v>851</v>
      </c>
      <c r="D147" t="s">
        <v>15</v>
      </c>
      <c r="E147" s="1" t="s">
        <v>3027</v>
      </c>
      <c r="F147" t="s">
        <v>3028</v>
      </c>
      <c r="J147" s="18">
        <v>1830011</v>
      </c>
      <c r="K147">
        <v>13</v>
      </c>
      <c r="L147" t="s">
        <v>16</v>
      </c>
      <c r="M147" t="s">
        <v>3212</v>
      </c>
      <c r="N147" s="1"/>
      <c r="O147" t="s">
        <v>853</v>
      </c>
      <c r="P147" t="s">
        <v>854</v>
      </c>
      <c r="Q147" s="10"/>
      <c r="S147" t="s">
        <v>855</v>
      </c>
      <c r="Y147" s="2">
        <v>45839</v>
      </c>
      <c r="Z147" t="s">
        <v>15</v>
      </c>
      <c r="AA147" t="s">
        <v>852</v>
      </c>
      <c r="AB147" t="s">
        <v>1368</v>
      </c>
    </row>
    <row r="148" spans="1:28">
      <c r="A148">
        <v>148</v>
      </c>
      <c r="B148">
        <v>0</v>
      </c>
      <c r="C148" t="s">
        <v>892</v>
      </c>
      <c r="D148" t="s">
        <v>22</v>
      </c>
      <c r="E148" s="1" t="s">
        <v>3029</v>
      </c>
      <c r="F148" t="s">
        <v>3030</v>
      </c>
      <c r="J148" s="18">
        <v>3300855</v>
      </c>
      <c r="K148">
        <v>11</v>
      </c>
      <c r="L148" t="s">
        <v>240</v>
      </c>
      <c r="M148" t="s">
        <v>3213</v>
      </c>
      <c r="N148" s="1"/>
      <c r="O148" t="s">
        <v>894</v>
      </c>
      <c r="P148" t="s">
        <v>895</v>
      </c>
      <c r="Q148" s="10" t="s">
        <v>896</v>
      </c>
      <c r="S148" t="s">
        <v>897</v>
      </c>
      <c r="Y148" s="2">
        <v>45852</v>
      </c>
      <c r="Z148" t="s">
        <v>22</v>
      </c>
      <c r="AA148" t="s">
        <v>893</v>
      </c>
      <c r="AB148" t="s">
        <v>1374</v>
      </c>
    </row>
    <row r="149" spans="1:28" ht="25">
      <c r="A149">
        <v>149</v>
      </c>
      <c r="B149">
        <v>0</v>
      </c>
      <c r="C149" t="s">
        <v>883</v>
      </c>
      <c r="D149" t="s">
        <v>22</v>
      </c>
      <c r="E149" s="1" t="s">
        <v>2999</v>
      </c>
      <c r="F149" t="s">
        <v>3031</v>
      </c>
      <c r="J149" s="18">
        <v>8612232</v>
      </c>
      <c r="K149">
        <v>43</v>
      </c>
      <c r="L149" t="s">
        <v>885</v>
      </c>
      <c r="M149" t="s">
        <v>3125</v>
      </c>
      <c r="N149" s="1"/>
      <c r="O149" t="s">
        <v>886</v>
      </c>
      <c r="P149" t="s">
        <v>887</v>
      </c>
      <c r="Q149" s="10" t="s">
        <v>888</v>
      </c>
      <c r="U149" t="s">
        <v>889</v>
      </c>
      <c r="V149" t="s">
        <v>890</v>
      </c>
      <c r="W149" t="s">
        <v>891</v>
      </c>
      <c r="Y149" s="2">
        <v>45839</v>
      </c>
      <c r="Z149" t="s">
        <v>22</v>
      </c>
      <c r="AA149" t="s">
        <v>884</v>
      </c>
      <c r="AB149" s="1" t="s">
        <v>1373</v>
      </c>
    </row>
    <row r="150" spans="1:28">
      <c r="A150">
        <v>150</v>
      </c>
      <c r="B150">
        <v>0</v>
      </c>
      <c r="C150" t="s">
        <v>908</v>
      </c>
      <c r="D150" t="s">
        <v>15</v>
      </c>
      <c r="E150" s="1" t="s">
        <v>3032</v>
      </c>
      <c r="F150" t="s">
        <v>3033</v>
      </c>
      <c r="J150" s="18">
        <v>9460024</v>
      </c>
      <c r="K150">
        <v>15</v>
      </c>
      <c r="L150" t="s">
        <v>152</v>
      </c>
      <c r="M150" t="s">
        <v>3214</v>
      </c>
      <c r="N150" s="1"/>
      <c r="O150" t="s">
        <v>910</v>
      </c>
      <c r="P150" t="s">
        <v>911</v>
      </c>
      <c r="Q150" s="10" t="s">
        <v>912</v>
      </c>
      <c r="S150" t="s">
        <v>913</v>
      </c>
      <c r="U150" t="s">
        <v>913</v>
      </c>
      <c r="V150" t="s">
        <v>914</v>
      </c>
      <c r="W150" t="s">
        <v>913</v>
      </c>
      <c r="Y150" s="2">
        <v>45839</v>
      </c>
      <c r="Z150" t="s">
        <v>15</v>
      </c>
      <c r="AA150" t="s">
        <v>909</v>
      </c>
      <c r="AB150" t="s">
        <v>1375</v>
      </c>
    </row>
    <row r="151" spans="1:28">
      <c r="A151">
        <v>151</v>
      </c>
      <c r="B151">
        <v>0</v>
      </c>
      <c r="C151" t="s">
        <v>915</v>
      </c>
      <c r="D151" t="s">
        <v>15</v>
      </c>
      <c r="E151" s="1" t="s">
        <v>3034</v>
      </c>
      <c r="F151" t="s">
        <v>3035</v>
      </c>
      <c r="J151" s="18">
        <v>2260027</v>
      </c>
      <c r="K151">
        <v>14</v>
      </c>
      <c r="L151" t="s">
        <v>50</v>
      </c>
      <c r="M151" t="s">
        <v>3126</v>
      </c>
      <c r="N151" s="1"/>
      <c r="O151" t="s">
        <v>917</v>
      </c>
      <c r="P151" t="s">
        <v>918</v>
      </c>
      <c r="Q151" s="10" t="s">
        <v>919</v>
      </c>
      <c r="S151" t="s">
        <v>920</v>
      </c>
      <c r="U151" t="s">
        <v>921</v>
      </c>
      <c r="V151" t="s">
        <v>922</v>
      </c>
      <c r="W151" t="s">
        <v>923</v>
      </c>
      <c r="Y151" s="2">
        <v>45831</v>
      </c>
      <c r="Z151" t="s">
        <v>15</v>
      </c>
      <c r="AA151" t="s">
        <v>916</v>
      </c>
      <c r="AB151" t="s">
        <v>1376</v>
      </c>
    </row>
    <row r="152" spans="1:28">
      <c r="A152">
        <v>152</v>
      </c>
      <c r="B152">
        <v>0</v>
      </c>
      <c r="C152" t="s">
        <v>924</v>
      </c>
      <c r="D152" t="s">
        <v>22</v>
      </c>
      <c r="E152" s="1" t="s">
        <v>1640</v>
      </c>
      <c r="F152" t="s">
        <v>1521</v>
      </c>
      <c r="J152" s="18">
        <v>7330812</v>
      </c>
      <c r="K152">
        <v>34</v>
      </c>
      <c r="L152" t="s">
        <v>121</v>
      </c>
      <c r="M152" t="s">
        <v>3215</v>
      </c>
      <c r="N152" s="1"/>
      <c r="O152" t="s">
        <v>926</v>
      </c>
      <c r="P152" t="s">
        <v>927</v>
      </c>
      <c r="Q152" s="10" t="s">
        <v>928</v>
      </c>
      <c r="S152" t="s">
        <v>929</v>
      </c>
      <c r="U152" t="s">
        <v>930</v>
      </c>
      <c r="Y152" s="2">
        <v>45839</v>
      </c>
      <c r="Z152" t="s">
        <v>22</v>
      </c>
      <c r="AA152" t="s">
        <v>925</v>
      </c>
      <c r="AB152" t="s">
        <v>1377</v>
      </c>
    </row>
    <row r="153" spans="1:28">
      <c r="A153">
        <v>153</v>
      </c>
      <c r="B153">
        <v>0</v>
      </c>
      <c r="C153" t="s">
        <v>764</v>
      </c>
      <c r="D153" t="s">
        <v>2954</v>
      </c>
      <c r="E153" t="s">
        <v>2955</v>
      </c>
      <c r="F153" t="s">
        <v>2956</v>
      </c>
      <c r="H153" s="1" t="s">
        <v>1641</v>
      </c>
      <c r="I153" t="s">
        <v>1522</v>
      </c>
      <c r="J153" s="18">
        <v>6620957</v>
      </c>
      <c r="K153">
        <v>28</v>
      </c>
      <c r="L153" t="s">
        <v>189</v>
      </c>
      <c r="M153" t="s">
        <v>3216</v>
      </c>
      <c r="N153" s="1"/>
      <c r="O153" t="s">
        <v>767</v>
      </c>
      <c r="P153" t="s">
        <v>768</v>
      </c>
      <c r="Q153" s="10"/>
      <c r="S153" t="s">
        <v>769</v>
      </c>
      <c r="V153" t="s">
        <v>770</v>
      </c>
      <c r="W153" t="s">
        <v>771</v>
      </c>
      <c r="Y153" s="2">
        <v>45839</v>
      </c>
      <c r="Z153" t="s">
        <v>3422</v>
      </c>
      <c r="AA153" t="s">
        <v>766</v>
      </c>
      <c r="AB153" t="s">
        <v>1358</v>
      </c>
    </row>
    <row r="154" spans="1:28">
      <c r="A154">
        <v>154</v>
      </c>
      <c r="B154">
        <v>0</v>
      </c>
      <c r="C154" t="s">
        <v>898</v>
      </c>
      <c r="D154" t="s">
        <v>15</v>
      </c>
      <c r="E154" s="1" t="s">
        <v>2957</v>
      </c>
      <c r="F154" t="s">
        <v>2958</v>
      </c>
      <c r="J154" s="18">
        <v>1340083</v>
      </c>
      <c r="K154">
        <v>13</v>
      </c>
      <c r="L154" t="s">
        <v>16</v>
      </c>
      <c r="M154" t="s">
        <v>3217</v>
      </c>
      <c r="N154" s="1"/>
      <c r="O154" t="s">
        <v>901</v>
      </c>
      <c r="P154" t="s">
        <v>902</v>
      </c>
      <c r="Q154" s="10" t="s">
        <v>903</v>
      </c>
      <c r="S154" t="s">
        <v>904</v>
      </c>
      <c r="U154" t="s">
        <v>905</v>
      </c>
      <c r="V154" t="s">
        <v>906</v>
      </c>
      <c r="W154" t="s">
        <v>907</v>
      </c>
      <c r="Y154" s="2">
        <v>45821</v>
      </c>
      <c r="Z154" t="s">
        <v>15</v>
      </c>
      <c r="AA154" t="s">
        <v>899</v>
      </c>
      <c r="AB154" t="s">
        <v>900</v>
      </c>
    </row>
    <row r="155" spans="1:28">
      <c r="A155">
        <v>155</v>
      </c>
      <c r="B155">
        <v>0</v>
      </c>
      <c r="C155" t="s">
        <v>953</v>
      </c>
      <c r="D155" t="s">
        <v>15</v>
      </c>
      <c r="E155" s="1" t="s">
        <v>2963</v>
      </c>
      <c r="F155" t="s">
        <v>2964</v>
      </c>
      <c r="J155" s="18">
        <v>4110917</v>
      </c>
      <c r="K155">
        <v>22</v>
      </c>
      <c r="L155" t="s">
        <v>222</v>
      </c>
      <c r="M155" t="s">
        <v>3218</v>
      </c>
      <c r="N155" s="1"/>
      <c r="O155" t="s">
        <v>955</v>
      </c>
      <c r="P155" t="s">
        <v>956</v>
      </c>
      <c r="Q155" s="10" t="s">
        <v>957</v>
      </c>
      <c r="S155" t="s">
        <v>958</v>
      </c>
      <c r="Y155" s="2">
        <v>45839</v>
      </c>
      <c r="Z155" t="s">
        <v>15</v>
      </c>
      <c r="AA155" t="s">
        <v>954</v>
      </c>
      <c r="AB155" t="s">
        <v>1381</v>
      </c>
    </row>
    <row r="156" spans="1:28">
      <c r="A156">
        <v>156</v>
      </c>
      <c r="B156">
        <v>0</v>
      </c>
      <c r="C156" t="s">
        <v>665</v>
      </c>
      <c r="D156" t="s">
        <v>2954</v>
      </c>
      <c r="E156" s="1" t="s">
        <v>2961</v>
      </c>
      <c r="F156" t="s">
        <v>2962</v>
      </c>
      <c r="G156" t="s">
        <v>2959</v>
      </c>
      <c r="H156" t="s">
        <v>2960</v>
      </c>
      <c r="I156" t="s">
        <v>1523</v>
      </c>
      <c r="J156" s="18">
        <v>8150063</v>
      </c>
      <c r="K156">
        <v>40</v>
      </c>
      <c r="L156" t="s">
        <v>114</v>
      </c>
      <c r="M156" t="s">
        <v>3219</v>
      </c>
      <c r="N156" s="1"/>
      <c r="O156" t="s">
        <v>668</v>
      </c>
      <c r="P156" t="s">
        <v>3305</v>
      </c>
      <c r="Q156" s="10" t="s">
        <v>670</v>
      </c>
      <c r="S156" t="s">
        <v>671</v>
      </c>
      <c r="U156" t="s">
        <v>671</v>
      </c>
      <c r="V156" t="s">
        <v>672</v>
      </c>
      <c r="W156" t="s">
        <v>673</v>
      </c>
      <c r="Y156" s="2">
        <v>45839</v>
      </c>
      <c r="Z156" t="s">
        <v>666</v>
      </c>
      <c r="AB156" t="s">
        <v>1341</v>
      </c>
    </row>
    <row r="157" spans="1:28">
      <c r="A157">
        <v>157</v>
      </c>
      <c r="B157">
        <v>0</v>
      </c>
      <c r="C157" t="s">
        <v>813</v>
      </c>
      <c r="D157" t="s">
        <v>15</v>
      </c>
      <c r="E157" s="1" t="s">
        <v>2965</v>
      </c>
      <c r="F157" t="s">
        <v>2966</v>
      </c>
      <c r="J157" s="18">
        <v>5730067</v>
      </c>
      <c r="K157">
        <v>27</v>
      </c>
      <c r="L157" t="s">
        <v>44</v>
      </c>
      <c r="M157" t="s">
        <v>3220</v>
      </c>
      <c r="N157" s="1"/>
      <c r="O157" t="s">
        <v>815</v>
      </c>
      <c r="P157" t="s">
        <v>816</v>
      </c>
      <c r="Q157" s="10" t="s">
        <v>817</v>
      </c>
      <c r="S157" t="s">
        <v>818</v>
      </c>
      <c r="U157" t="s">
        <v>818</v>
      </c>
      <c r="V157" t="s">
        <v>819</v>
      </c>
      <c r="W157" t="s">
        <v>820</v>
      </c>
      <c r="Y157" s="2">
        <v>45870</v>
      </c>
      <c r="Z157" t="s">
        <v>15</v>
      </c>
      <c r="AA157" t="s">
        <v>814</v>
      </c>
      <c r="AB157" t="s">
        <v>1366</v>
      </c>
    </row>
    <row r="158" spans="1:28">
      <c r="A158">
        <v>158</v>
      </c>
      <c r="B158">
        <v>0</v>
      </c>
      <c r="C158" t="s">
        <v>931</v>
      </c>
      <c r="D158" t="s">
        <v>15</v>
      </c>
      <c r="E158" s="1" t="s">
        <v>2967</v>
      </c>
      <c r="F158" t="s">
        <v>2968</v>
      </c>
      <c r="H158" s="1" t="s">
        <v>1642</v>
      </c>
      <c r="I158" t="s">
        <v>1488</v>
      </c>
      <c r="J158" s="18">
        <v>1920154</v>
      </c>
      <c r="K158">
        <v>13</v>
      </c>
      <c r="L158" t="s">
        <v>16</v>
      </c>
      <c r="M158" t="s">
        <v>3221</v>
      </c>
      <c r="N158" s="1"/>
      <c r="O158" t="s">
        <v>934</v>
      </c>
      <c r="P158" t="s">
        <v>935</v>
      </c>
      <c r="Q158" s="10" t="s">
        <v>936</v>
      </c>
      <c r="S158" t="s">
        <v>937</v>
      </c>
      <c r="U158" t="s">
        <v>937</v>
      </c>
      <c r="Y158" s="2">
        <v>45870</v>
      </c>
      <c r="Z158" t="s">
        <v>932</v>
      </c>
      <c r="AA158" t="s">
        <v>933</v>
      </c>
      <c r="AB158" t="s">
        <v>1378</v>
      </c>
    </row>
    <row r="159" spans="1:28" ht="25">
      <c r="A159">
        <v>159</v>
      </c>
      <c r="B159">
        <v>0</v>
      </c>
      <c r="C159" t="s">
        <v>821</v>
      </c>
      <c r="D159" t="s">
        <v>15</v>
      </c>
      <c r="E159" s="1" t="s">
        <v>2971</v>
      </c>
      <c r="F159" t="s">
        <v>2973</v>
      </c>
      <c r="H159" t="s">
        <v>2969</v>
      </c>
      <c r="I159" t="s">
        <v>2970</v>
      </c>
      <c r="J159" s="18">
        <v>1650022</v>
      </c>
      <c r="K159">
        <v>13</v>
      </c>
      <c r="L159" t="s">
        <v>16</v>
      </c>
      <c r="M159" t="s">
        <v>3297</v>
      </c>
      <c r="N159" s="1"/>
      <c r="O159" t="s">
        <v>825</v>
      </c>
      <c r="P159" t="s">
        <v>826</v>
      </c>
      <c r="Q159" s="10"/>
      <c r="S159" s="14" t="s">
        <v>3387</v>
      </c>
      <c r="T159" s="1"/>
      <c r="V159" t="s">
        <v>828</v>
      </c>
      <c r="W159" t="s">
        <v>829</v>
      </c>
      <c r="Y159" s="2">
        <v>45870</v>
      </c>
      <c r="Z159" s="1" t="s">
        <v>2972</v>
      </c>
      <c r="AA159" t="s">
        <v>823</v>
      </c>
      <c r="AB159" t="s">
        <v>824</v>
      </c>
    </row>
    <row r="160" spans="1:28" ht="25">
      <c r="A160">
        <v>160</v>
      </c>
      <c r="B160">
        <v>0</v>
      </c>
      <c r="C160" t="s">
        <v>959</v>
      </c>
      <c r="D160" t="s">
        <v>15</v>
      </c>
      <c r="E160" s="1" t="s">
        <v>1643</v>
      </c>
      <c r="F160" t="s">
        <v>1524</v>
      </c>
      <c r="J160" s="18" t="s">
        <v>3429</v>
      </c>
      <c r="K160">
        <v>1</v>
      </c>
      <c r="L160" t="s">
        <v>75</v>
      </c>
      <c r="M160" t="s">
        <v>3298</v>
      </c>
      <c r="N160" s="1"/>
      <c r="O160" t="s">
        <v>961</v>
      </c>
      <c r="P160" t="s">
        <v>3304</v>
      </c>
      <c r="Q160" t="s">
        <v>3341</v>
      </c>
      <c r="S160" t="s">
        <v>962</v>
      </c>
      <c r="V160" s="1" t="s">
        <v>963</v>
      </c>
      <c r="W160" s="14" t="s">
        <v>3439</v>
      </c>
      <c r="X160" s="1" t="s">
        <v>3440</v>
      </c>
      <c r="Y160" s="2">
        <v>45852</v>
      </c>
      <c r="Z160" t="s">
        <v>15</v>
      </c>
      <c r="AA160" t="s">
        <v>960</v>
      </c>
      <c r="AB160" t="s">
        <v>1382</v>
      </c>
    </row>
    <row r="161" spans="1:28">
      <c r="A161">
        <v>161</v>
      </c>
      <c r="B161">
        <v>0</v>
      </c>
      <c r="C161" t="s">
        <v>948</v>
      </c>
      <c r="D161" t="s">
        <v>15</v>
      </c>
      <c r="E161" s="1" t="s">
        <v>2974</v>
      </c>
      <c r="F161" t="s">
        <v>2974</v>
      </c>
      <c r="J161" s="18">
        <v>1130001</v>
      </c>
      <c r="K161">
        <v>13</v>
      </c>
      <c r="L161" t="s">
        <v>16</v>
      </c>
      <c r="M161" t="s">
        <v>3222</v>
      </c>
      <c r="N161" s="1"/>
      <c r="O161" t="s">
        <v>950</v>
      </c>
      <c r="Q161" t="s">
        <v>3342</v>
      </c>
      <c r="S161" t="s">
        <v>952</v>
      </c>
      <c r="U161" t="s">
        <v>952</v>
      </c>
      <c r="Y161" s="2">
        <v>45901</v>
      </c>
      <c r="Z161" t="s">
        <v>15</v>
      </c>
      <c r="AA161" t="s">
        <v>949</v>
      </c>
      <c r="AB161" t="s">
        <v>1380</v>
      </c>
    </row>
    <row r="162" spans="1:28">
      <c r="A162">
        <v>162</v>
      </c>
      <c r="B162">
        <v>0</v>
      </c>
      <c r="C162" t="s">
        <v>992</v>
      </c>
      <c r="D162" t="s">
        <v>22</v>
      </c>
      <c r="E162" s="1" t="s">
        <v>2975</v>
      </c>
      <c r="F162" t="s">
        <v>2976</v>
      </c>
      <c r="J162" s="18">
        <v>5780944</v>
      </c>
      <c r="K162">
        <v>27</v>
      </c>
      <c r="L162" t="s">
        <v>44</v>
      </c>
      <c r="M162" t="s">
        <v>3223</v>
      </c>
      <c r="N162" s="1"/>
      <c r="O162" t="s">
        <v>994</v>
      </c>
      <c r="P162" t="s">
        <v>3310</v>
      </c>
      <c r="Q162" t="s">
        <v>3343</v>
      </c>
      <c r="S162" t="s">
        <v>995</v>
      </c>
      <c r="Y162" s="2">
        <v>45870</v>
      </c>
      <c r="Z162" t="s">
        <v>22</v>
      </c>
      <c r="AA162" t="s">
        <v>993</v>
      </c>
      <c r="AB162" t="s">
        <v>1387</v>
      </c>
    </row>
    <row r="163" spans="1:28">
      <c r="A163">
        <v>163</v>
      </c>
      <c r="B163">
        <v>0</v>
      </c>
      <c r="C163" t="s">
        <v>996</v>
      </c>
      <c r="D163" t="s">
        <v>22</v>
      </c>
      <c r="E163" s="1" t="s">
        <v>1623</v>
      </c>
      <c r="F163" t="s">
        <v>1525</v>
      </c>
      <c r="J163" s="18">
        <v>9401161</v>
      </c>
      <c r="K163">
        <v>15</v>
      </c>
      <c r="L163" t="s">
        <v>152</v>
      </c>
      <c r="M163" t="s">
        <v>3224</v>
      </c>
      <c r="N163" s="1"/>
      <c r="O163" t="s">
        <v>999</v>
      </c>
      <c r="P163" t="s">
        <v>3311</v>
      </c>
      <c r="Q163" t="s">
        <v>3344</v>
      </c>
      <c r="S163" t="s">
        <v>1000</v>
      </c>
      <c r="Y163" s="2">
        <v>45870</v>
      </c>
      <c r="Z163" t="s">
        <v>22</v>
      </c>
      <c r="AA163" t="s">
        <v>997</v>
      </c>
      <c r="AB163" t="s">
        <v>998</v>
      </c>
    </row>
    <row r="164" spans="1:28">
      <c r="A164">
        <v>164</v>
      </c>
      <c r="B164">
        <v>0</v>
      </c>
      <c r="C164" t="s">
        <v>971</v>
      </c>
      <c r="D164" t="s">
        <v>15</v>
      </c>
      <c r="E164" s="1" t="s">
        <v>1644</v>
      </c>
      <c r="F164" t="s">
        <v>1526</v>
      </c>
      <c r="J164" s="18">
        <v>2200061</v>
      </c>
      <c r="K164">
        <v>14</v>
      </c>
      <c r="L164" t="s">
        <v>50</v>
      </c>
      <c r="M164" t="s">
        <v>3127</v>
      </c>
      <c r="N164" s="1"/>
      <c r="O164" t="s">
        <v>973</v>
      </c>
      <c r="P164" t="s">
        <v>974</v>
      </c>
      <c r="Q164" s="10" t="s">
        <v>975</v>
      </c>
      <c r="S164" t="s">
        <v>976</v>
      </c>
      <c r="U164" t="s">
        <v>976</v>
      </c>
      <c r="Y164" s="2">
        <v>45890</v>
      </c>
      <c r="Z164" t="s">
        <v>15</v>
      </c>
      <c r="AA164" t="s">
        <v>972</v>
      </c>
      <c r="AB164" t="s">
        <v>1384</v>
      </c>
    </row>
    <row r="165" spans="1:28">
      <c r="A165">
        <v>165</v>
      </c>
      <c r="B165">
        <v>3</v>
      </c>
      <c r="C165" t="s">
        <v>3505</v>
      </c>
      <c r="E165" s="1" t="s">
        <v>2977</v>
      </c>
      <c r="F165" t="s">
        <v>2978</v>
      </c>
      <c r="J165" s="18">
        <v>3050023</v>
      </c>
      <c r="K165">
        <v>8</v>
      </c>
      <c r="L165" t="s">
        <v>803</v>
      </c>
      <c r="M165" t="s">
        <v>3225</v>
      </c>
      <c r="N165" s="1"/>
      <c r="Q165" t="s">
        <v>3345</v>
      </c>
      <c r="S165" t="s">
        <v>1002</v>
      </c>
      <c r="Y165" s="2">
        <v>45884</v>
      </c>
      <c r="AA165" t="s">
        <v>1001</v>
      </c>
      <c r="AB165" t="s">
        <v>1388</v>
      </c>
    </row>
    <row r="166" spans="1:28">
      <c r="A166">
        <v>166</v>
      </c>
      <c r="B166">
        <v>0</v>
      </c>
      <c r="C166" t="s">
        <v>835</v>
      </c>
      <c r="D166" t="s">
        <v>2982</v>
      </c>
      <c r="E166" t="s">
        <v>2983</v>
      </c>
      <c r="F166" t="s">
        <v>2984</v>
      </c>
      <c r="G166" s="1" t="s">
        <v>1645</v>
      </c>
      <c r="H166" t="s">
        <v>2980</v>
      </c>
      <c r="I166" t="s">
        <v>2981</v>
      </c>
      <c r="J166" s="18">
        <v>9830824</v>
      </c>
      <c r="K166">
        <v>4</v>
      </c>
      <c r="L166" t="s">
        <v>484</v>
      </c>
      <c r="M166" t="s">
        <v>3226</v>
      </c>
      <c r="N166" s="1"/>
      <c r="P166" t="s">
        <v>839</v>
      </c>
      <c r="Q166" s="10" t="s">
        <v>840</v>
      </c>
      <c r="S166" t="s">
        <v>841</v>
      </c>
      <c r="U166" t="s">
        <v>842</v>
      </c>
      <c r="V166" t="s">
        <v>843</v>
      </c>
      <c r="W166" t="s">
        <v>842</v>
      </c>
      <c r="Y166" s="2">
        <v>45901</v>
      </c>
      <c r="Z166" t="s">
        <v>836</v>
      </c>
      <c r="AA166" t="s">
        <v>2979</v>
      </c>
      <c r="AB166" t="s">
        <v>838</v>
      </c>
    </row>
    <row r="167" spans="1:28">
      <c r="A167">
        <v>167</v>
      </c>
      <c r="B167">
        <v>0</v>
      </c>
      <c r="C167" t="s">
        <v>986</v>
      </c>
      <c r="D167" t="s">
        <v>15</v>
      </c>
      <c r="E167" s="1" t="s">
        <v>1603</v>
      </c>
      <c r="F167" t="s">
        <v>1527</v>
      </c>
      <c r="J167" s="18">
        <v>2330052</v>
      </c>
      <c r="K167">
        <v>14</v>
      </c>
      <c r="L167" t="s">
        <v>50</v>
      </c>
      <c r="M167" t="s">
        <v>3128</v>
      </c>
      <c r="N167" s="1"/>
      <c r="O167" t="s">
        <v>988</v>
      </c>
      <c r="P167" t="s">
        <v>989</v>
      </c>
      <c r="Q167" s="10" t="s">
        <v>990</v>
      </c>
      <c r="S167" t="s">
        <v>991</v>
      </c>
      <c r="Y167" s="3">
        <v>46266</v>
      </c>
      <c r="Z167" t="s">
        <v>15</v>
      </c>
      <c r="AA167" t="s">
        <v>987</v>
      </c>
      <c r="AB167" t="s">
        <v>1386</v>
      </c>
    </row>
    <row r="168" spans="1:28" ht="25">
      <c r="A168">
        <v>168</v>
      </c>
      <c r="B168">
        <v>0</v>
      </c>
      <c r="C168" t="s">
        <v>1022</v>
      </c>
      <c r="D168" t="s">
        <v>22</v>
      </c>
      <c r="E168" s="1" t="s">
        <v>1646</v>
      </c>
      <c r="F168" t="s">
        <v>1528</v>
      </c>
      <c r="J168" s="18">
        <v>8050075</v>
      </c>
      <c r="K168">
        <v>40</v>
      </c>
      <c r="L168" t="s">
        <v>114</v>
      </c>
      <c r="M168" t="s">
        <v>3299</v>
      </c>
      <c r="N168" s="1"/>
      <c r="O168" t="s">
        <v>1024</v>
      </c>
      <c r="P168" t="s">
        <v>1025</v>
      </c>
      <c r="Q168" s="10" t="s">
        <v>1026</v>
      </c>
      <c r="S168" t="s">
        <v>1027</v>
      </c>
      <c r="U168" t="s">
        <v>1027</v>
      </c>
      <c r="V168" s="1" t="s">
        <v>1028</v>
      </c>
      <c r="W168" s="14" t="s">
        <v>3441</v>
      </c>
      <c r="X168" s="1" t="s">
        <v>3442</v>
      </c>
      <c r="Y168" s="2">
        <v>45901</v>
      </c>
      <c r="Z168" t="s">
        <v>22</v>
      </c>
      <c r="AA168" t="s">
        <v>1023</v>
      </c>
      <c r="AB168" t="s">
        <v>1392</v>
      </c>
    </row>
    <row r="169" spans="1:28">
      <c r="A169">
        <v>169</v>
      </c>
      <c r="B169">
        <v>0</v>
      </c>
      <c r="C169" t="s">
        <v>1030</v>
      </c>
      <c r="D169" t="s">
        <v>22</v>
      </c>
      <c r="E169" s="1" t="s">
        <v>2985</v>
      </c>
      <c r="F169" t="s">
        <v>2986</v>
      </c>
      <c r="J169" s="18">
        <v>8528155</v>
      </c>
      <c r="K169">
        <v>42</v>
      </c>
      <c r="L169" t="s">
        <v>31</v>
      </c>
      <c r="M169" t="s">
        <v>3227</v>
      </c>
      <c r="N169" s="1"/>
      <c r="O169" t="s">
        <v>1032</v>
      </c>
      <c r="P169" t="s">
        <v>3312</v>
      </c>
      <c r="Q169" t="s">
        <v>3346</v>
      </c>
      <c r="S169" t="s">
        <v>1033</v>
      </c>
      <c r="Y169" s="2">
        <v>45901</v>
      </c>
      <c r="Z169" t="s">
        <v>22</v>
      </c>
      <c r="AA169" t="s">
        <v>1031</v>
      </c>
      <c r="AB169" t="s">
        <v>1393</v>
      </c>
    </row>
    <row r="170" spans="1:28">
      <c r="A170">
        <v>170</v>
      </c>
      <c r="B170">
        <v>0</v>
      </c>
      <c r="C170" t="s">
        <v>1003</v>
      </c>
      <c r="D170" t="s">
        <v>2989</v>
      </c>
      <c r="E170" s="1" t="s">
        <v>2990</v>
      </c>
      <c r="F170" t="s">
        <v>3037</v>
      </c>
      <c r="H170" t="s">
        <v>2988</v>
      </c>
      <c r="I170" t="s">
        <v>2987</v>
      </c>
      <c r="J170" s="18">
        <v>3100851</v>
      </c>
      <c r="K170">
        <v>8</v>
      </c>
      <c r="L170" t="s">
        <v>803</v>
      </c>
      <c r="M170" t="s">
        <v>3228</v>
      </c>
      <c r="N170" s="1"/>
      <c r="O170" t="s">
        <v>1006</v>
      </c>
      <c r="P170" t="s">
        <v>3313</v>
      </c>
      <c r="Q170" t="s">
        <v>3347</v>
      </c>
      <c r="S170" t="s">
        <v>1007</v>
      </c>
      <c r="Y170" s="2">
        <v>45901</v>
      </c>
      <c r="Z170" t="s">
        <v>1004</v>
      </c>
      <c r="AA170" t="s">
        <v>1005</v>
      </c>
      <c r="AB170" t="s">
        <v>1389</v>
      </c>
    </row>
    <row r="171" spans="1:28" ht="25">
      <c r="A171">
        <v>171</v>
      </c>
      <c r="B171">
        <v>0</v>
      </c>
      <c r="C171" t="s">
        <v>977</v>
      </c>
      <c r="D171" t="s">
        <v>15</v>
      </c>
      <c r="E171" s="1" t="s">
        <v>3038</v>
      </c>
      <c r="F171" t="s">
        <v>3020</v>
      </c>
      <c r="J171" s="18">
        <v>3260141</v>
      </c>
      <c r="K171">
        <v>9</v>
      </c>
      <c r="L171" t="s">
        <v>128</v>
      </c>
      <c r="M171" t="s">
        <v>3229</v>
      </c>
      <c r="N171" s="1"/>
      <c r="O171" t="s">
        <v>979</v>
      </c>
      <c r="P171" t="s">
        <v>980</v>
      </c>
      <c r="Q171" s="10" t="s">
        <v>981</v>
      </c>
      <c r="S171" t="s">
        <v>982</v>
      </c>
      <c r="U171" t="s">
        <v>983</v>
      </c>
      <c r="V171" s="1" t="s">
        <v>984</v>
      </c>
      <c r="W171" s="14" t="s">
        <v>3443</v>
      </c>
      <c r="X171" s="1" t="s">
        <v>3444</v>
      </c>
      <c r="Y171" s="2">
        <v>45901</v>
      </c>
      <c r="Z171" t="s">
        <v>15</v>
      </c>
      <c r="AA171" t="s">
        <v>978</v>
      </c>
      <c r="AB171" t="s">
        <v>1385</v>
      </c>
    </row>
    <row r="172" spans="1:28">
      <c r="A172">
        <v>172</v>
      </c>
      <c r="B172">
        <v>0</v>
      </c>
      <c r="C172" t="s">
        <v>1069</v>
      </c>
      <c r="D172" t="s">
        <v>15</v>
      </c>
      <c r="E172" s="1" t="s">
        <v>3039</v>
      </c>
      <c r="F172" t="s">
        <v>3040</v>
      </c>
      <c r="J172" s="18">
        <v>2700121</v>
      </c>
      <c r="K172">
        <v>12</v>
      </c>
      <c r="L172" t="s">
        <v>85</v>
      </c>
      <c r="M172" t="s">
        <v>3230</v>
      </c>
      <c r="N172" s="1"/>
      <c r="O172" t="s">
        <v>1071</v>
      </c>
      <c r="P172" t="s">
        <v>3314</v>
      </c>
      <c r="Q172" t="s">
        <v>3348</v>
      </c>
      <c r="S172" t="s">
        <v>1072</v>
      </c>
      <c r="Y172" s="2">
        <v>45931</v>
      </c>
      <c r="Z172" t="s">
        <v>15</v>
      </c>
      <c r="AA172" t="s">
        <v>1070</v>
      </c>
      <c r="AB172" t="s">
        <v>1399</v>
      </c>
    </row>
    <row r="173" spans="1:28">
      <c r="A173">
        <v>173</v>
      </c>
      <c r="B173">
        <v>0</v>
      </c>
      <c r="C173" t="s">
        <v>1046</v>
      </c>
      <c r="D173" t="s">
        <v>15</v>
      </c>
      <c r="E173" s="1" t="s">
        <v>1647</v>
      </c>
      <c r="F173" t="s">
        <v>1529</v>
      </c>
      <c r="J173" s="18">
        <v>8160911</v>
      </c>
      <c r="K173">
        <v>40</v>
      </c>
      <c r="L173" t="s">
        <v>114</v>
      </c>
      <c r="M173" t="s">
        <v>3231</v>
      </c>
      <c r="N173" s="1"/>
      <c r="O173" t="s">
        <v>1048</v>
      </c>
      <c r="P173" t="s">
        <v>1049</v>
      </c>
      <c r="Q173" s="10" t="s">
        <v>1050</v>
      </c>
      <c r="S173" t="s">
        <v>1051</v>
      </c>
      <c r="U173" t="s">
        <v>1051</v>
      </c>
      <c r="Y173" s="2">
        <v>45931</v>
      </c>
      <c r="Z173" t="s">
        <v>15</v>
      </c>
      <c r="AA173" t="s">
        <v>1047</v>
      </c>
      <c r="AB173" t="s">
        <v>1396</v>
      </c>
    </row>
    <row r="174" spans="1:28">
      <c r="A174">
        <v>174</v>
      </c>
      <c r="B174">
        <v>0</v>
      </c>
      <c r="C174" t="s">
        <v>938</v>
      </c>
      <c r="D174" t="s">
        <v>2989</v>
      </c>
      <c r="E174" t="s">
        <v>3041</v>
      </c>
      <c r="F174" t="s">
        <v>3042</v>
      </c>
      <c r="H174" s="1" t="s">
        <v>1648</v>
      </c>
      <c r="I174" t="s">
        <v>1516</v>
      </c>
      <c r="J174" s="18" t="s">
        <v>3430</v>
      </c>
      <c r="K174">
        <v>1</v>
      </c>
      <c r="L174" t="s">
        <v>75</v>
      </c>
      <c r="M174" t="s">
        <v>3232</v>
      </c>
      <c r="N174" s="1"/>
      <c r="O174" t="s">
        <v>941</v>
      </c>
      <c r="P174" t="s">
        <v>942</v>
      </c>
      <c r="Q174" s="10" t="s">
        <v>943</v>
      </c>
      <c r="S174" s="14" t="s">
        <v>3388</v>
      </c>
      <c r="T174" s="1" t="s">
        <v>3389</v>
      </c>
      <c r="U174" t="s">
        <v>945</v>
      </c>
      <c r="V174" t="s">
        <v>946</v>
      </c>
      <c r="W174" t="s">
        <v>947</v>
      </c>
      <c r="Y174" s="2">
        <v>45931</v>
      </c>
      <c r="Z174" t="s">
        <v>939</v>
      </c>
      <c r="AA174" t="s">
        <v>940</v>
      </c>
      <c r="AB174" t="s">
        <v>1379</v>
      </c>
    </row>
    <row r="175" spans="1:28" ht="25">
      <c r="A175">
        <v>175</v>
      </c>
      <c r="B175">
        <v>0</v>
      </c>
      <c r="C175" t="s">
        <v>1060</v>
      </c>
      <c r="D175" t="s">
        <v>2989</v>
      </c>
      <c r="E175" s="1" t="s">
        <v>3043</v>
      </c>
      <c r="F175" t="s">
        <v>3044</v>
      </c>
      <c r="H175" t="s">
        <v>1729</v>
      </c>
      <c r="I175" t="s">
        <v>3045</v>
      </c>
      <c r="J175" s="18">
        <v>5530001</v>
      </c>
      <c r="K175">
        <v>27</v>
      </c>
      <c r="L175" t="s">
        <v>44</v>
      </c>
      <c r="M175" t="s">
        <v>3233</v>
      </c>
      <c r="N175" s="1"/>
      <c r="O175" t="s">
        <v>1063</v>
      </c>
      <c r="P175" t="s">
        <v>1064</v>
      </c>
      <c r="Q175" s="10" t="s">
        <v>1065</v>
      </c>
      <c r="S175" t="s">
        <v>1066</v>
      </c>
      <c r="U175" t="s">
        <v>1067</v>
      </c>
      <c r="V175" t="s">
        <v>1068</v>
      </c>
      <c r="W175" t="s">
        <v>1067</v>
      </c>
      <c r="Y175" s="2">
        <v>45931</v>
      </c>
      <c r="Z175" t="s">
        <v>1061</v>
      </c>
      <c r="AA175" s="1" t="s">
        <v>1062</v>
      </c>
      <c r="AB175" t="s">
        <v>1398</v>
      </c>
    </row>
    <row r="176" spans="1:28" ht="25">
      <c r="A176">
        <v>176</v>
      </c>
      <c r="B176">
        <v>0</v>
      </c>
      <c r="C176" t="s">
        <v>1013</v>
      </c>
      <c r="D176" t="s">
        <v>1014</v>
      </c>
      <c r="E176" s="1" t="s">
        <v>3046</v>
      </c>
      <c r="F176" t="s">
        <v>3047</v>
      </c>
      <c r="J176" s="18">
        <v>4260066</v>
      </c>
      <c r="K176">
        <v>22</v>
      </c>
      <c r="L176" t="s">
        <v>222</v>
      </c>
      <c r="M176" t="s">
        <v>3300</v>
      </c>
      <c r="N176" s="1"/>
      <c r="O176" t="s">
        <v>1016</v>
      </c>
      <c r="P176" t="s">
        <v>1017</v>
      </c>
      <c r="Q176" s="10" t="s">
        <v>1018</v>
      </c>
      <c r="S176" t="s">
        <v>1019</v>
      </c>
      <c r="U176" t="s">
        <v>1019</v>
      </c>
      <c r="V176" s="1" t="s">
        <v>1020</v>
      </c>
      <c r="W176" s="14" t="s">
        <v>3445</v>
      </c>
      <c r="X176" s="1" t="s">
        <v>3446</v>
      </c>
      <c r="Y176" s="2">
        <v>45931</v>
      </c>
      <c r="Z176" t="s">
        <v>1014</v>
      </c>
      <c r="AA176" t="s">
        <v>1015</v>
      </c>
      <c r="AB176" t="s">
        <v>1391</v>
      </c>
    </row>
    <row r="177" spans="1:28">
      <c r="A177">
        <v>177</v>
      </c>
      <c r="B177">
        <v>0</v>
      </c>
      <c r="C177" t="s">
        <v>1081</v>
      </c>
      <c r="D177" t="s">
        <v>15</v>
      </c>
      <c r="E177" s="1" t="s">
        <v>3048</v>
      </c>
      <c r="F177" t="s">
        <v>1530</v>
      </c>
      <c r="J177" s="18">
        <v>8390821</v>
      </c>
      <c r="K177">
        <v>40</v>
      </c>
      <c r="L177" t="s">
        <v>114</v>
      </c>
      <c r="M177" t="s">
        <v>3234</v>
      </c>
      <c r="N177" s="1"/>
      <c r="O177" t="s">
        <v>1083</v>
      </c>
      <c r="P177" t="s">
        <v>1084</v>
      </c>
      <c r="Q177" s="10" t="s">
        <v>1085</v>
      </c>
      <c r="S177" t="s">
        <v>1086</v>
      </c>
      <c r="Y177" s="2">
        <v>45931</v>
      </c>
      <c r="Z177" t="s">
        <v>15</v>
      </c>
      <c r="AA177" t="s">
        <v>1082</v>
      </c>
      <c r="AB177" t="s">
        <v>1401</v>
      </c>
    </row>
    <row r="178" spans="1:28" ht="50">
      <c r="A178">
        <v>178</v>
      </c>
      <c r="B178">
        <v>0</v>
      </c>
      <c r="C178" t="s">
        <v>965</v>
      </c>
      <c r="D178" t="s">
        <v>15</v>
      </c>
      <c r="E178" s="1" t="s">
        <v>3049</v>
      </c>
      <c r="F178" t="s">
        <v>3050</v>
      </c>
      <c r="J178" s="18">
        <v>5810071</v>
      </c>
      <c r="K178">
        <v>27</v>
      </c>
      <c r="L178" t="s">
        <v>44</v>
      </c>
      <c r="M178" s="1" t="s">
        <v>3301</v>
      </c>
      <c r="N178" s="1"/>
      <c r="O178" t="s">
        <v>967</v>
      </c>
      <c r="P178" t="s">
        <v>968</v>
      </c>
      <c r="Q178" s="10" t="s">
        <v>969</v>
      </c>
      <c r="S178" t="s">
        <v>970</v>
      </c>
      <c r="Y178" s="2">
        <v>45962</v>
      </c>
      <c r="Z178" t="s">
        <v>15</v>
      </c>
      <c r="AA178" t="s">
        <v>966</v>
      </c>
      <c r="AB178" s="1" t="s">
        <v>1383</v>
      </c>
    </row>
    <row r="179" spans="1:28" ht="25">
      <c r="A179">
        <v>179</v>
      </c>
      <c r="B179">
        <v>0</v>
      </c>
      <c r="C179" t="s">
        <v>1008</v>
      </c>
      <c r="D179" t="s">
        <v>22</v>
      </c>
      <c r="E179" s="1" t="s">
        <v>1649</v>
      </c>
      <c r="F179" t="s">
        <v>1520</v>
      </c>
      <c r="J179" s="18">
        <v>4460001</v>
      </c>
      <c r="K179">
        <v>23</v>
      </c>
      <c r="L179" t="s">
        <v>63</v>
      </c>
      <c r="M179" t="s">
        <v>3235</v>
      </c>
      <c r="N179" s="1"/>
      <c r="O179" t="s">
        <v>1010</v>
      </c>
      <c r="P179" t="s">
        <v>3315</v>
      </c>
      <c r="Q179" t="s">
        <v>3349</v>
      </c>
      <c r="S179" t="s">
        <v>1011</v>
      </c>
      <c r="U179" t="s">
        <v>1012</v>
      </c>
      <c r="Y179" s="2">
        <v>45962</v>
      </c>
      <c r="Z179" t="s">
        <v>22</v>
      </c>
      <c r="AA179" t="s">
        <v>1009</v>
      </c>
      <c r="AB179" s="1" t="s">
        <v>1390</v>
      </c>
    </row>
    <row r="180" spans="1:28" ht="25">
      <c r="A180">
        <v>180</v>
      </c>
      <c r="B180">
        <v>0</v>
      </c>
      <c r="C180" t="s">
        <v>1052</v>
      </c>
      <c r="D180" t="s">
        <v>2989</v>
      </c>
      <c r="E180" s="1" t="s">
        <v>3051</v>
      </c>
      <c r="F180" t="s">
        <v>3052</v>
      </c>
      <c r="H180" s="1" t="s">
        <v>1650</v>
      </c>
      <c r="I180" t="s">
        <v>1531</v>
      </c>
      <c r="J180" s="18">
        <v>8618043</v>
      </c>
      <c r="K180">
        <v>43</v>
      </c>
      <c r="L180" t="s">
        <v>885</v>
      </c>
      <c r="M180" t="s">
        <v>3236</v>
      </c>
      <c r="N180" s="1"/>
      <c r="O180" t="s">
        <v>1055</v>
      </c>
      <c r="P180" t="s">
        <v>3306</v>
      </c>
      <c r="Q180" t="s">
        <v>3350</v>
      </c>
      <c r="S180" t="s">
        <v>1056</v>
      </c>
      <c r="U180" t="s">
        <v>1057</v>
      </c>
      <c r="V180" s="1" t="s">
        <v>1058</v>
      </c>
      <c r="W180" s="14" t="s">
        <v>3447</v>
      </c>
      <c r="X180" s="1" t="s">
        <v>1056</v>
      </c>
      <c r="Y180" s="2">
        <v>45962</v>
      </c>
      <c r="Z180" t="s">
        <v>1053</v>
      </c>
      <c r="AA180" t="s">
        <v>1054</v>
      </c>
      <c r="AB180" t="s">
        <v>1397</v>
      </c>
    </row>
    <row r="181" spans="1:28" ht="25">
      <c r="A181">
        <v>181</v>
      </c>
      <c r="B181">
        <v>0</v>
      </c>
      <c r="C181" t="s">
        <v>1087</v>
      </c>
      <c r="D181" t="s">
        <v>603</v>
      </c>
      <c r="E181" s="1" t="s">
        <v>1651</v>
      </c>
      <c r="F181" t="s">
        <v>1532</v>
      </c>
      <c r="J181" s="18">
        <v>8110203</v>
      </c>
      <c r="K181">
        <v>40</v>
      </c>
      <c r="L181" t="s">
        <v>114</v>
      </c>
      <c r="M181" t="s">
        <v>3237</v>
      </c>
      <c r="N181" s="1"/>
      <c r="O181" t="s">
        <v>1089</v>
      </c>
      <c r="P181" t="s">
        <v>1090</v>
      </c>
      <c r="Q181" s="10" t="s">
        <v>1091</v>
      </c>
      <c r="S181" t="s">
        <v>1092</v>
      </c>
      <c r="Y181" s="2">
        <v>45962</v>
      </c>
      <c r="Z181" t="s">
        <v>603</v>
      </c>
      <c r="AA181" t="s">
        <v>1088</v>
      </c>
      <c r="AB181" s="1" t="s">
        <v>1402</v>
      </c>
    </row>
    <row r="182" spans="1:28" ht="25">
      <c r="A182">
        <v>182</v>
      </c>
      <c r="B182">
        <v>0</v>
      </c>
      <c r="C182" t="s">
        <v>1099</v>
      </c>
      <c r="D182" t="s">
        <v>15</v>
      </c>
      <c r="E182" s="1" t="s">
        <v>1652</v>
      </c>
      <c r="F182" t="s">
        <v>1533</v>
      </c>
      <c r="J182" s="18">
        <v>5580002</v>
      </c>
      <c r="K182">
        <v>27</v>
      </c>
      <c r="L182" t="s">
        <v>44</v>
      </c>
      <c r="M182" t="s">
        <v>3238</v>
      </c>
      <c r="N182" s="1"/>
      <c r="O182" t="s">
        <v>1101</v>
      </c>
      <c r="P182" t="s">
        <v>1102</v>
      </c>
      <c r="Q182" s="10" t="s">
        <v>1103</v>
      </c>
      <c r="S182" t="s">
        <v>1104</v>
      </c>
      <c r="Y182" s="2">
        <v>45962</v>
      </c>
      <c r="Z182" t="s">
        <v>15</v>
      </c>
      <c r="AA182" t="s">
        <v>1100</v>
      </c>
      <c r="AB182" s="1" t="s">
        <v>1404</v>
      </c>
    </row>
    <row r="183" spans="1:28" ht="25">
      <c r="A183">
        <v>183</v>
      </c>
      <c r="B183">
        <v>0</v>
      </c>
      <c r="C183" t="s">
        <v>1112</v>
      </c>
      <c r="D183" t="s">
        <v>15</v>
      </c>
      <c r="E183" s="1" t="s">
        <v>1653</v>
      </c>
      <c r="F183" t="s">
        <v>1534</v>
      </c>
      <c r="J183" s="18">
        <v>1680064</v>
      </c>
      <c r="K183">
        <v>13</v>
      </c>
      <c r="L183" t="s">
        <v>16</v>
      </c>
      <c r="M183" t="s">
        <v>3239</v>
      </c>
      <c r="N183" s="1"/>
      <c r="O183" t="s">
        <v>1114</v>
      </c>
      <c r="P183" t="s">
        <v>1115</v>
      </c>
      <c r="Q183" s="10" t="s">
        <v>1116</v>
      </c>
      <c r="S183" t="s">
        <v>1117</v>
      </c>
      <c r="Y183" s="2">
        <v>45976</v>
      </c>
      <c r="Z183" t="s">
        <v>15</v>
      </c>
      <c r="AA183" t="s">
        <v>1113</v>
      </c>
      <c r="AB183" s="1" t="s">
        <v>1406</v>
      </c>
    </row>
    <row r="184" spans="1:28" ht="37.5">
      <c r="A184">
        <v>184</v>
      </c>
      <c r="B184">
        <v>0</v>
      </c>
      <c r="C184" t="s">
        <v>1105</v>
      </c>
      <c r="D184" t="s">
        <v>15</v>
      </c>
      <c r="E184" s="1" t="s">
        <v>3053</v>
      </c>
      <c r="F184" t="s">
        <v>3054</v>
      </c>
      <c r="J184" s="18">
        <v>5300001</v>
      </c>
      <c r="K184">
        <v>27</v>
      </c>
      <c r="L184" t="s">
        <v>44</v>
      </c>
      <c r="M184" t="s">
        <v>3240</v>
      </c>
      <c r="N184" s="1"/>
      <c r="O184" t="s">
        <v>1107</v>
      </c>
      <c r="P184" t="s">
        <v>1108</v>
      </c>
      <c r="Q184" s="10" t="s">
        <v>1109</v>
      </c>
      <c r="S184" t="s">
        <v>1110</v>
      </c>
      <c r="U184" t="s">
        <v>1111</v>
      </c>
      <c r="W184" t="s">
        <v>1110</v>
      </c>
      <c r="Y184" s="2">
        <v>45962</v>
      </c>
      <c r="Z184" t="s">
        <v>15</v>
      </c>
      <c r="AA184" t="s">
        <v>1106</v>
      </c>
      <c r="AB184" s="1" t="s">
        <v>1405</v>
      </c>
    </row>
    <row r="185" spans="1:28" ht="25">
      <c r="A185">
        <v>185</v>
      </c>
      <c r="B185">
        <v>0</v>
      </c>
      <c r="C185" t="s">
        <v>1118</v>
      </c>
      <c r="D185" t="s">
        <v>22</v>
      </c>
      <c r="E185" s="1" t="s">
        <v>1654</v>
      </c>
      <c r="F185" t="s">
        <v>1535</v>
      </c>
      <c r="J185" s="18">
        <v>2440815</v>
      </c>
      <c r="K185">
        <v>14</v>
      </c>
      <c r="L185" t="s">
        <v>50</v>
      </c>
      <c r="M185" t="s">
        <v>3241</v>
      </c>
      <c r="N185" s="1"/>
      <c r="O185" t="s">
        <v>1120</v>
      </c>
      <c r="P185" t="s">
        <v>1121</v>
      </c>
      <c r="Q185" s="10" t="s">
        <v>1122</v>
      </c>
      <c r="S185" t="s">
        <v>1123</v>
      </c>
      <c r="Y185" s="2">
        <v>45962</v>
      </c>
      <c r="Z185" t="s">
        <v>22</v>
      </c>
      <c r="AA185" t="s">
        <v>1119</v>
      </c>
      <c r="AB185" s="1" t="s">
        <v>1407</v>
      </c>
    </row>
    <row r="186" spans="1:28" ht="25">
      <c r="A186">
        <v>186</v>
      </c>
      <c r="B186">
        <v>0</v>
      </c>
      <c r="C186" t="s">
        <v>1093</v>
      </c>
      <c r="D186" t="s">
        <v>15</v>
      </c>
      <c r="E186" s="1" t="s">
        <v>1655</v>
      </c>
      <c r="F186" t="s">
        <v>1536</v>
      </c>
      <c r="J186" s="18">
        <v>1730024</v>
      </c>
      <c r="K186">
        <v>13</v>
      </c>
      <c r="L186" t="s">
        <v>16</v>
      </c>
      <c r="M186" t="s">
        <v>3242</v>
      </c>
      <c r="N186" s="1"/>
      <c r="O186" t="s">
        <v>1095</v>
      </c>
      <c r="P186" t="s">
        <v>1096</v>
      </c>
      <c r="Q186" s="10" t="s">
        <v>1097</v>
      </c>
      <c r="S186" t="s">
        <v>1098</v>
      </c>
      <c r="Y186" s="2">
        <v>45948</v>
      </c>
      <c r="Z186" t="s">
        <v>15</v>
      </c>
      <c r="AA186" t="s">
        <v>1094</v>
      </c>
      <c r="AB186" s="1" t="s">
        <v>1403</v>
      </c>
    </row>
    <row r="187" spans="1:28" ht="25">
      <c r="A187">
        <v>187</v>
      </c>
      <c r="B187">
        <v>0</v>
      </c>
      <c r="C187" t="s">
        <v>1124</v>
      </c>
      <c r="D187" t="s">
        <v>22</v>
      </c>
      <c r="E187" s="1" t="s">
        <v>1656</v>
      </c>
      <c r="F187" t="s">
        <v>1537</v>
      </c>
      <c r="J187" s="18">
        <v>8060032</v>
      </c>
      <c r="K187">
        <v>40</v>
      </c>
      <c r="L187" t="s">
        <v>114</v>
      </c>
      <c r="M187" t="s">
        <v>3243</v>
      </c>
      <c r="N187" s="1"/>
      <c r="O187" t="s">
        <v>1126</v>
      </c>
      <c r="P187" t="s">
        <v>1127</v>
      </c>
      <c r="Q187" s="10" t="s">
        <v>1128</v>
      </c>
      <c r="S187" t="s">
        <v>1129</v>
      </c>
      <c r="Y187" s="2">
        <v>45992</v>
      </c>
      <c r="Z187" t="s">
        <v>22</v>
      </c>
      <c r="AA187" t="s">
        <v>1125</v>
      </c>
      <c r="AB187" s="1" t="s">
        <v>1408</v>
      </c>
    </row>
    <row r="188" spans="1:28" ht="25">
      <c r="A188">
        <v>188</v>
      </c>
      <c r="B188">
        <v>0</v>
      </c>
      <c r="C188" t="s">
        <v>1040</v>
      </c>
      <c r="D188" t="s">
        <v>22</v>
      </c>
      <c r="E188" s="1" t="s">
        <v>1657</v>
      </c>
      <c r="F188" t="s">
        <v>1538</v>
      </c>
      <c r="J188" s="18">
        <v>1120003</v>
      </c>
      <c r="K188">
        <v>13</v>
      </c>
      <c r="L188" t="s">
        <v>16</v>
      </c>
      <c r="M188" t="s">
        <v>3244</v>
      </c>
      <c r="N188" s="1"/>
      <c r="O188" t="s">
        <v>1042</v>
      </c>
      <c r="P188" t="s">
        <v>1043</v>
      </c>
      <c r="Q188" s="10" t="s">
        <v>1044</v>
      </c>
      <c r="S188" t="s">
        <v>1045</v>
      </c>
      <c r="Y188" s="2">
        <v>46023</v>
      </c>
      <c r="Z188" t="s">
        <v>22</v>
      </c>
      <c r="AA188" t="s">
        <v>1041</v>
      </c>
      <c r="AB188" s="1" t="s">
        <v>1395</v>
      </c>
    </row>
    <row r="189" spans="1:28" ht="25">
      <c r="A189">
        <v>189</v>
      </c>
      <c r="B189">
        <v>0</v>
      </c>
      <c r="C189" t="s">
        <v>1137</v>
      </c>
      <c r="D189" t="s">
        <v>15</v>
      </c>
      <c r="E189" s="1" t="s">
        <v>3055</v>
      </c>
      <c r="F189" t="s">
        <v>3056</v>
      </c>
      <c r="J189" s="18">
        <v>1550031</v>
      </c>
      <c r="K189">
        <v>13</v>
      </c>
      <c r="L189" t="s">
        <v>16</v>
      </c>
      <c r="M189" t="s">
        <v>3245</v>
      </c>
      <c r="N189" s="1"/>
      <c r="O189" t="s">
        <v>1139</v>
      </c>
      <c r="P189" t="s">
        <v>1140</v>
      </c>
      <c r="Q189" s="10" t="s">
        <v>1141</v>
      </c>
      <c r="S189" t="s">
        <v>1142</v>
      </c>
      <c r="U189" t="s">
        <v>1143</v>
      </c>
      <c r="V189" t="s">
        <v>1144</v>
      </c>
      <c r="W189" s="14" t="s">
        <v>3448</v>
      </c>
      <c r="X189" s="1" t="s">
        <v>3449</v>
      </c>
      <c r="Y189" s="2">
        <v>45992</v>
      </c>
      <c r="Z189" t="s">
        <v>15</v>
      </c>
      <c r="AA189" t="s">
        <v>1138</v>
      </c>
      <c r="AB189" s="1" t="s">
        <v>1411</v>
      </c>
    </row>
    <row r="190" spans="1:28">
      <c r="A190">
        <v>190</v>
      </c>
      <c r="B190">
        <v>0</v>
      </c>
      <c r="C190" t="s">
        <v>1034</v>
      </c>
      <c r="D190" t="s">
        <v>15</v>
      </c>
      <c r="E190" s="1" t="s">
        <v>1658</v>
      </c>
      <c r="F190" t="s">
        <v>1539</v>
      </c>
      <c r="J190" s="18">
        <v>5670801</v>
      </c>
      <c r="K190">
        <v>27</v>
      </c>
      <c r="L190" t="s">
        <v>44</v>
      </c>
      <c r="M190" t="s">
        <v>3246</v>
      </c>
      <c r="N190" s="1"/>
      <c r="O190" t="s">
        <v>1036</v>
      </c>
      <c r="P190" t="s">
        <v>1037</v>
      </c>
      <c r="Q190" s="10" t="s">
        <v>1038</v>
      </c>
      <c r="S190" t="s">
        <v>1039</v>
      </c>
      <c r="Y190" s="2">
        <v>45992</v>
      </c>
      <c r="Z190" t="s">
        <v>15</v>
      </c>
      <c r="AA190" t="s">
        <v>1035</v>
      </c>
      <c r="AB190" t="s">
        <v>1394</v>
      </c>
    </row>
    <row r="191" spans="1:28" ht="25">
      <c r="A191">
        <v>191</v>
      </c>
      <c r="B191">
        <v>0</v>
      </c>
      <c r="C191" t="s">
        <v>1073</v>
      </c>
      <c r="D191" t="s">
        <v>3059</v>
      </c>
      <c r="E191" t="s">
        <v>3060</v>
      </c>
      <c r="F191" t="s">
        <v>3061</v>
      </c>
      <c r="H191" s="1" t="s">
        <v>3057</v>
      </c>
      <c r="I191" t="s">
        <v>3058</v>
      </c>
      <c r="J191" s="18">
        <v>1200015</v>
      </c>
      <c r="K191">
        <v>13</v>
      </c>
      <c r="L191" t="s">
        <v>16</v>
      </c>
      <c r="M191" t="s">
        <v>3302</v>
      </c>
      <c r="N191" s="1"/>
      <c r="O191" t="s">
        <v>1076</v>
      </c>
      <c r="P191" t="s">
        <v>1077</v>
      </c>
      <c r="Q191" s="10"/>
      <c r="S191" t="s">
        <v>1078</v>
      </c>
      <c r="U191" t="s">
        <v>1079</v>
      </c>
      <c r="W191" t="s">
        <v>1080</v>
      </c>
      <c r="Y191" s="2">
        <v>45931</v>
      </c>
      <c r="Z191" t="s">
        <v>1074</v>
      </c>
      <c r="AA191" t="s">
        <v>1075</v>
      </c>
      <c r="AB191" s="1" t="s">
        <v>1400</v>
      </c>
    </row>
    <row r="192" spans="1:28" ht="25">
      <c r="A192">
        <v>192</v>
      </c>
      <c r="B192">
        <v>0</v>
      </c>
      <c r="C192" t="s">
        <v>1130</v>
      </c>
      <c r="D192" t="s">
        <v>22</v>
      </c>
      <c r="E192" s="1" t="s">
        <v>3062</v>
      </c>
      <c r="F192" t="s">
        <v>3017</v>
      </c>
      <c r="J192" s="18">
        <v>3900805</v>
      </c>
      <c r="K192">
        <v>20</v>
      </c>
      <c r="L192" t="s">
        <v>260</v>
      </c>
      <c r="M192" t="s">
        <v>3247</v>
      </c>
      <c r="N192" s="1"/>
      <c r="O192" t="s">
        <v>1132</v>
      </c>
      <c r="P192" t="s">
        <v>1133</v>
      </c>
      <c r="Q192" s="10" t="s">
        <v>1134</v>
      </c>
      <c r="S192" t="s">
        <v>1135</v>
      </c>
      <c r="U192" t="s">
        <v>1135</v>
      </c>
      <c r="Y192" s="2">
        <v>45992</v>
      </c>
      <c r="Z192" t="s">
        <v>22</v>
      </c>
      <c r="AA192" t="s">
        <v>1131</v>
      </c>
      <c r="AB192" s="1" t="s">
        <v>1409</v>
      </c>
    </row>
    <row r="193" spans="1:28" ht="25">
      <c r="A193">
        <v>193</v>
      </c>
      <c r="B193">
        <v>0</v>
      </c>
      <c r="C193" t="s">
        <v>1158</v>
      </c>
      <c r="D193" t="s">
        <v>2989</v>
      </c>
      <c r="E193" t="s">
        <v>3063</v>
      </c>
      <c r="F193" t="s">
        <v>3064</v>
      </c>
      <c r="H193" s="1" t="s">
        <v>1659</v>
      </c>
      <c r="I193" t="s">
        <v>1540</v>
      </c>
      <c r="J193" s="18">
        <v>2860035</v>
      </c>
      <c r="K193">
        <v>12</v>
      </c>
      <c r="L193" t="s">
        <v>85</v>
      </c>
      <c r="M193" t="s">
        <v>3248</v>
      </c>
      <c r="N193" s="1"/>
      <c r="O193" t="s">
        <v>1161</v>
      </c>
      <c r="P193" t="s">
        <v>1162</v>
      </c>
      <c r="Q193" s="10" t="s">
        <v>1163</v>
      </c>
      <c r="S193" t="s">
        <v>1164</v>
      </c>
      <c r="V193" t="s">
        <v>1165</v>
      </c>
      <c r="W193" t="s">
        <v>1166</v>
      </c>
      <c r="Y193" s="2">
        <v>46027</v>
      </c>
      <c r="Z193" t="s">
        <v>1159</v>
      </c>
      <c r="AA193" t="s">
        <v>1160</v>
      </c>
      <c r="AB193" s="1" t="s">
        <v>1414</v>
      </c>
    </row>
    <row r="194" spans="1:28" ht="25">
      <c r="A194">
        <v>194</v>
      </c>
      <c r="B194">
        <v>0</v>
      </c>
      <c r="C194" t="s">
        <v>1179</v>
      </c>
      <c r="D194" t="s">
        <v>15</v>
      </c>
      <c r="E194" s="1" t="s">
        <v>3065</v>
      </c>
      <c r="F194" t="s">
        <v>3066</v>
      </c>
      <c r="G194" t="s">
        <v>3067</v>
      </c>
      <c r="H194" t="s">
        <v>3068</v>
      </c>
      <c r="I194" t="s">
        <v>3069</v>
      </c>
      <c r="J194" s="18">
        <v>3248686</v>
      </c>
      <c r="K194">
        <v>9</v>
      </c>
      <c r="L194" t="s">
        <v>128</v>
      </c>
      <c r="M194" t="s">
        <v>3249</v>
      </c>
      <c r="N194" s="1"/>
      <c r="O194" t="s">
        <v>1181</v>
      </c>
      <c r="P194" t="s">
        <v>3307</v>
      </c>
      <c r="Q194" t="s">
        <v>3351</v>
      </c>
      <c r="S194" t="s">
        <v>1182</v>
      </c>
      <c r="U194" t="s">
        <v>1182</v>
      </c>
      <c r="V194" t="s">
        <v>1183</v>
      </c>
      <c r="W194" t="s">
        <v>1184</v>
      </c>
      <c r="Y194" s="2">
        <v>46023</v>
      </c>
      <c r="Z194" t="s">
        <v>15</v>
      </c>
      <c r="AA194" t="s">
        <v>1180</v>
      </c>
      <c r="AB194" s="1" t="s">
        <v>1417</v>
      </c>
    </row>
    <row r="195" spans="1:28" ht="25">
      <c r="A195">
        <v>195</v>
      </c>
      <c r="B195">
        <v>0</v>
      </c>
      <c r="C195" t="s">
        <v>1155</v>
      </c>
      <c r="D195" t="s">
        <v>15</v>
      </c>
      <c r="E195" s="1" t="s">
        <v>3070</v>
      </c>
      <c r="F195" t="s">
        <v>3071</v>
      </c>
      <c r="J195" s="18">
        <v>8150083</v>
      </c>
      <c r="K195">
        <v>40</v>
      </c>
      <c r="L195" t="s">
        <v>114</v>
      </c>
      <c r="M195" t="s">
        <v>3250</v>
      </c>
      <c r="N195" s="1"/>
      <c r="O195" t="s">
        <v>1156</v>
      </c>
      <c r="P195" t="s">
        <v>1157</v>
      </c>
      <c r="Q195" s="10" t="s">
        <v>751</v>
      </c>
      <c r="S195" t="s">
        <v>752</v>
      </c>
      <c r="Y195" s="2">
        <v>45992</v>
      </c>
      <c r="Z195" t="s">
        <v>15</v>
      </c>
      <c r="AA195" t="s">
        <v>749</v>
      </c>
      <c r="AB195" s="1" t="s">
        <v>1413</v>
      </c>
    </row>
    <row r="196" spans="1:28" ht="25">
      <c r="A196">
        <v>196</v>
      </c>
      <c r="B196">
        <v>0</v>
      </c>
      <c r="C196" t="s">
        <v>1136</v>
      </c>
      <c r="D196" t="s">
        <v>15</v>
      </c>
      <c r="E196" s="1" t="s">
        <v>1594</v>
      </c>
      <c r="F196" t="s">
        <v>1478</v>
      </c>
      <c r="J196" s="18">
        <v>1950053</v>
      </c>
      <c r="K196">
        <v>13</v>
      </c>
      <c r="L196" t="s">
        <v>16</v>
      </c>
      <c r="M196" t="s">
        <v>3251</v>
      </c>
      <c r="N196" s="1"/>
      <c r="O196" t="s">
        <v>377</v>
      </c>
      <c r="Q196" s="10"/>
      <c r="S196" t="s">
        <v>379</v>
      </c>
      <c r="Y196" s="2">
        <v>46023</v>
      </c>
      <c r="Z196" t="s">
        <v>15</v>
      </c>
      <c r="AA196" t="s">
        <v>376</v>
      </c>
      <c r="AB196" s="1" t="s">
        <v>1410</v>
      </c>
    </row>
    <row r="197" spans="1:28" ht="25">
      <c r="A197">
        <v>197</v>
      </c>
      <c r="B197">
        <v>0</v>
      </c>
      <c r="C197" t="s">
        <v>1167</v>
      </c>
      <c r="D197" t="s">
        <v>22</v>
      </c>
      <c r="E197" s="1" t="s">
        <v>1660</v>
      </c>
      <c r="F197" t="s">
        <v>1541</v>
      </c>
      <c r="J197" s="18">
        <v>6410007</v>
      </c>
      <c r="K197">
        <v>30</v>
      </c>
      <c r="L197" t="s">
        <v>331</v>
      </c>
      <c r="M197" t="s">
        <v>3129</v>
      </c>
      <c r="N197" s="1"/>
      <c r="O197" t="s">
        <v>1169</v>
      </c>
      <c r="P197" t="s">
        <v>1170</v>
      </c>
      <c r="Q197" s="10" t="s">
        <v>1171</v>
      </c>
      <c r="S197" t="s">
        <v>1172</v>
      </c>
      <c r="Y197" s="2">
        <v>46029</v>
      </c>
      <c r="Z197" t="s">
        <v>22</v>
      </c>
      <c r="AA197" t="s">
        <v>1168</v>
      </c>
      <c r="AB197" s="1" t="s">
        <v>1415</v>
      </c>
    </row>
    <row r="198" spans="1:28" ht="25">
      <c r="A198">
        <v>198</v>
      </c>
      <c r="B198">
        <v>0</v>
      </c>
      <c r="C198" t="s">
        <v>1185</v>
      </c>
      <c r="D198" t="s">
        <v>15</v>
      </c>
      <c r="E198" s="1" t="s">
        <v>3013</v>
      </c>
      <c r="F198" t="s">
        <v>3072</v>
      </c>
      <c r="J198" s="18">
        <v>6590093</v>
      </c>
      <c r="K198">
        <v>28</v>
      </c>
      <c r="L198" t="s">
        <v>189</v>
      </c>
      <c r="M198" t="s">
        <v>3252</v>
      </c>
      <c r="N198" s="1"/>
      <c r="O198" t="s">
        <v>1187</v>
      </c>
      <c r="P198" t="s">
        <v>1188</v>
      </c>
      <c r="Q198" s="10" t="s">
        <v>1189</v>
      </c>
      <c r="S198" t="s">
        <v>1190</v>
      </c>
      <c r="U198" t="s">
        <v>1190</v>
      </c>
      <c r="Y198" s="2">
        <v>46023</v>
      </c>
      <c r="Z198" t="s">
        <v>15</v>
      </c>
      <c r="AA198" t="s">
        <v>1186</v>
      </c>
      <c r="AB198" s="1" t="s">
        <v>1418</v>
      </c>
    </row>
    <row r="199" spans="1:28" ht="25">
      <c r="A199">
        <v>199</v>
      </c>
      <c r="B199">
        <v>0</v>
      </c>
      <c r="C199" t="s">
        <v>1191</v>
      </c>
      <c r="D199" t="s">
        <v>22</v>
      </c>
      <c r="E199" s="1" t="s">
        <v>3073</v>
      </c>
      <c r="F199" t="s">
        <v>3074</v>
      </c>
      <c r="J199" s="18">
        <v>6610953</v>
      </c>
      <c r="K199">
        <v>28</v>
      </c>
      <c r="L199" t="s">
        <v>189</v>
      </c>
      <c r="M199" t="s">
        <v>3253</v>
      </c>
      <c r="N199" s="1"/>
      <c r="O199" t="s">
        <v>1193</v>
      </c>
      <c r="P199" t="s">
        <v>1194</v>
      </c>
      <c r="Q199" s="10" t="s">
        <v>1195</v>
      </c>
      <c r="S199" t="s">
        <v>1196</v>
      </c>
      <c r="Y199" s="2">
        <v>46023</v>
      </c>
      <c r="Z199" t="s">
        <v>22</v>
      </c>
      <c r="AA199" t="s">
        <v>1192</v>
      </c>
      <c r="AB199" s="1" t="s">
        <v>1419</v>
      </c>
    </row>
    <row r="200" spans="1:28" ht="25">
      <c r="A200">
        <v>200</v>
      </c>
      <c r="B200">
        <v>0</v>
      </c>
      <c r="C200" t="s">
        <v>1173</v>
      </c>
      <c r="D200" t="s">
        <v>22</v>
      </c>
      <c r="E200" s="1" t="s">
        <v>3075</v>
      </c>
      <c r="F200" t="s">
        <v>3076</v>
      </c>
      <c r="J200" s="18">
        <v>1680063</v>
      </c>
      <c r="K200">
        <v>13</v>
      </c>
      <c r="L200" t="s">
        <v>16</v>
      </c>
      <c r="M200" t="s">
        <v>3254</v>
      </c>
      <c r="N200" s="1"/>
      <c r="O200" t="s">
        <v>1175</v>
      </c>
      <c r="P200" t="s">
        <v>1176</v>
      </c>
      <c r="Q200" s="10" t="s">
        <v>1177</v>
      </c>
      <c r="S200" t="s">
        <v>1178</v>
      </c>
      <c r="Y200" s="2">
        <v>45689</v>
      </c>
      <c r="Z200" t="s">
        <v>22</v>
      </c>
      <c r="AA200" t="s">
        <v>1174</v>
      </c>
      <c r="AB200" s="1" t="s">
        <v>1416</v>
      </c>
    </row>
    <row r="201" spans="1:28" ht="25">
      <c r="A201">
        <v>201</v>
      </c>
      <c r="B201">
        <v>0</v>
      </c>
      <c r="C201" t="s">
        <v>1197</v>
      </c>
      <c r="D201" t="s">
        <v>15</v>
      </c>
      <c r="E201" s="1" t="s">
        <v>3077</v>
      </c>
      <c r="F201" t="s">
        <v>3078</v>
      </c>
      <c r="J201" s="18">
        <v>6408213</v>
      </c>
      <c r="K201">
        <v>30</v>
      </c>
      <c r="L201" t="s">
        <v>331</v>
      </c>
      <c r="M201" t="s">
        <v>3130</v>
      </c>
      <c r="N201" s="1"/>
      <c r="O201" t="s">
        <v>1199</v>
      </c>
      <c r="P201" t="s">
        <v>1200</v>
      </c>
      <c r="Q201" s="10" t="s">
        <v>1201</v>
      </c>
      <c r="S201" t="s">
        <v>1202</v>
      </c>
      <c r="Y201" s="2">
        <v>46054</v>
      </c>
      <c r="Z201" t="s">
        <v>15</v>
      </c>
      <c r="AA201" t="s">
        <v>1198</v>
      </c>
      <c r="AB201" s="1" t="s">
        <v>1420</v>
      </c>
    </row>
    <row r="202" spans="1:28" ht="25">
      <c r="A202">
        <v>202</v>
      </c>
      <c r="B202">
        <v>0</v>
      </c>
      <c r="C202" t="s">
        <v>1203</v>
      </c>
      <c r="D202" t="s">
        <v>22</v>
      </c>
      <c r="E202" s="1" t="s">
        <v>3079</v>
      </c>
      <c r="F202" t="s">
        <v>3080</v>
      </c>
      <c r="J202" s="18">
        <v>1790081</v>
      </c>
      <c r="K202">
        <v>13</v>
      </c>
      <c r="L202" t="s">
        <v>16</v>
      </c>
      <c r="M202" t="s">
        <v>3255</v>
      </c>
      <c r="N202" s="1"/>
      <c r="O202" t="s">
        <v>1205</v>
      </c>
      <c r="P202" t="s">
        <v>1206</v>
      </c>
      <c r="Q202" s="10" t="s">
        <v>1207</v>
      </c>
      <c r="S202" t="s">
        <v>1208</v>
      </c>
      <c r="Y202" s="2">
        <v>46054</v>
      </c>
      <c r="Z202" t="s">
        <v>22</v>
      </c>
      <c r="AA202" t="s">
        <v>1204</v>
      </c>
      <c r="AB202" s="1" t="s">
        <v>1421</v>
      </c>
    </row>
    <row r="203" spans="1:28" ht="25">
      <c r="A203">
        <v>203</v>
      </c>
      <c r="B203">
        <v>0</v>
      </c>
      <c r="C203" t="s">
        <v>1209</v>
      </c>
      <c r="D203" t="s">
        <v>3059</v>
      </c>
      <c r="E203" s="1" t="s">
        <v>3081</v>
      </c>
      <c r="F203" t="s">
        <v>3082</v>
      </c>
      <c r="H203" t="s">
        <v>3084</v>
      </c>
      <c r="I203" t="s">
        <v>3085</v>
      </c>
      <c r="J203" s="18">
        <v>8950072</v>
      </c>
      <c r="K203">
        <v>46</v>
      </c>
      <c r="L203" t="s">
        <v>247</v>
      </c>
      <c r="M203" t="s">
        <v>3131</v>
      </c>
      <c r="N203" s="1"/>
      <c r="O203" t="s">
        <v>1212</v>
      </c>
      <c r="P203" t="s">
        <v>1213</v>
      </c>
      <c r="Q203" s="10" t="s">
        <v>1214</v>
      </c>
      <c r="S203" t="s">
        <v>1215</v>
      </c>
      <c r="V203" t="s">
        <v>1216</v>
      </c>
      <c r="Y203" s="2">
        <v>46054</v>
      </c>
      <c r="Z203" t="s">
        <v>1210</v>
      </c>
      <c r="AA203" t="s">
        <v>3083</v>
      </c>
      <c r="AB203" s="1" t="s">
        <v>1422</v>
      </c>
    </row>
    <row r="204" spans="1:28" ht="25">
      <c r="A204">
        <v>204</v>
      </c>
      <c r="B204">
        <v>0</v>
      </c>
      <c r="C204" t="s">
        <v>1217</v>
      </c>
      <c r="D204" t="s">
        <v>22</v>
      </c>
      <c r="E204" s="1" t="s">
        <v>1661</v>
      </c>
      <c r="F204" t="s">
        <v>1542</v>
      </c>
      <c r="J204" s="18">
        <v>8300037</v>
      </c>
      <c r="K204">
        <v>40</v>
      </c>
      <c r="L204" t="s">
        <v>114</v>
      </c>
      <c r="M204" t="s">
        <v>3256</v>
      </c>
      <c r="N204" s="1"/>
      <c r="O204" t="s">
        <v>1219</v>
      </c>
      <c r="P204" t="s">
        <v>1220</v>
      </c>
      <c r="Q204" s="10" t="s">
        <v>1221</v>
      </c>
      <c r="S204" t="s">
        <v>1222</v>
      </c>
      <c r="V204" t="s">
        <v>1223</v>
      </c>
      <c r="W204" t="s">
        <v>1224</v>
      </c>
      <c r="Y204" s="2">
        <v>46054</v>
      </c>
      <c r="Z204" t="s">
        <v>22</v>
      </c>
      <c r="AA204" t="s">
        <v>1218</v>
      </c>
      <c r="AB204" s="1" t="s">
        <v>1423</v>
      </c>
    </row>
    <row r="205" spans="1:28" ht="25">
      <c r="A205">
        <v>205</v>
      </c>
      <c r="B205">
        <v>0</v>
      </c>
      <c r="C205" t="s">
        <v>3327</v>
      </c>
      <c r="D205" t="s">
        <v>15</v>
      </c>
      <c r="E205" s="1" t="s">
        <v>1578</v>
      </c>
      <c r="F205" t="s">
        <v>1462</v>
      </c>
      <c r="J205" s="18">
        <v>8870021</v>
      </c>
      <c r="K205">
        <v>45</v>
      </c>
      <c r="L205" t="s">
        <v>319</v>
      </c>
      <c r="M205" t="s">
        <v>3152</v>
      </c>
      <c r="N205" s="1"/>
      <c r="O205" t="s">
        <v>320</v>
      </c>
      <c r="P205" t="s">
        <v>321</v>
      </c>
      <c r="Q205" s="10"/>
      <c r="S205" s="14" t="s">
        <v>3390</v>
      </c>
      <c r="T205" s="1" t="s">
        <v>3391</v>
      </c>
      <c r="Y205" s="2">
        <v>45017</v>
      </c>
      <c r="Z205" t="s">
        <v>15</v>
      </c>
      <c r="AA205" t="s">
        <v>318</v>
      </c>
      <c r="AB205" s="1" t="s">
        <v>1284</v>
      </c>
    </row>
    <row r="206" spans="1:28" s="82" customFormat="1" ht="25">
      <c r="A206" s="82">
        <v>206</v>
      </c>
      <c r="B206" s="82">
        <v>2</v>
      </c>
      <c r="C206" s="82" t="s">
        <v>1147</v>
      </c>
      <c r="D206" s="82" t="s">
        <v>1148</v>
      </c>
      <c r="E206" s="83" t="s">
        <v>1626</v>
      </c>
      <c r="F206" s="82" t="s">
        <v>1543</v>
      </c>
      <c r="J206" s="84">
        <v>2360004</v>
      </c>
      <c r="K206" s="82">
        <v>14</v>
      </c>
      <c r="L206" s="82" t="s">
        <v>50</v>
      </c>
      <c r="M206" s="82" t="s">
        <v>3132</v>
      </c>
      <c r="N206" s="83" t="s">
        <v>3490</v>
      </c>
      <c r="O206" s="82" t="s">
        <v>1150</v>
      </c>
      <c r="P206" s="82" t="s">
        <v>1151</v>
      </c>
      <c r="Q206" s="85" t="s">
        <v>1152</v>
      </c>
      <c r="S206" s="82" t="s">
        <v>1153</v>
      </c>
      <c r="U206" s="82" t="s">
        <v>1153</v>
      </c>
      <c r="V206" s="82" t="s">
        <v>1154</v>
      </c>
      <c r="W206" s="82" t="s">
        <v>1153</v>
      </c>
      <c r="Y206" s="87">
        <v>45992</v>
      </c>
      <c r="Z206" s="82" t="s">
        <v>1148</v>
      </c>
      <c r="AA206" s="82" t="s">
        <v>1149</v>
      </c>
      <c r="AB206" s="83" t="s">
        <v>1412</v>
      </c>
    </row>
    <row r="207" spans="1:28" s="82" customFormat="1" ht="25">
      <c r="A207" s="82">
        <v>207</v>
      </c>
      <c r="B207" s="82">
        <v>2</v>
      </c>
      <c r="C207" s="82" t="s">
        <v>546</v>
      </c>
      <c r="D207" s="82" t="s">
        <v>15</v>
      </c>
      <c r="E207" s="83" t="s">
        <v>1547</v>
      </c>
      <c r="F207" s="82" t="s">
        <v>1545</v>
      </c>
      <c r="J207" s="84">
        <v>1580097</v>
      </c>
      <c r="K207" s="82">
        <v>13</v>
      </c>
      <c r="L207" s="82" t="s">
        <v>16</v>
      </c>
      <c r="M207" s="82" t="s">
        <v>3303</v>
      </c>
      <c r="N207" s="83" t="s">
        <v>3491</v>
      </c>
      <c r="O207" s="82" t="s">
        <v>548</v>
      </c>
      <c r="Q207" s="85"/>
      <c r="S207" s="82" t="s">
        <v>549</v>
      </c>
      <c r="Z207" s="82" t="s">
        <v>15</v>
      </c>
      <c r="AA207" s="82" t="s">
        <v>547</v>
      </c>
      <c r="AB207" s="83" t="s">
        <v>1322</v>
      </c>
    </row>
    <row r="208" spans="1:28" s="82" customFormat="1">
      <c r="A208" s="82">
        <v>208</v>
      </c>
      <c r="B208" s="82">
        <v>2</v>
      </c>
      <c r="C208" s="82" t="s">
        <v>3509</v>
      </c>
      <c r="D208" s="82" t="s">
        <v>3508</v>
      </c>
      <c r="E208" s="83" t="s">
        <v>3087</v>
      </c>
      <c r="F208" s="82" t="s">
        <v>3088</v>
      </c>
      <c r="J208" s="84">
        <v>1138603</v>
      </c>
      <c r="K208" s="82">
        <v>13</v>
      </c>
      <c r="L208" s="82" t="s">
        <v>3510</v>
      </c>
      <c r="M208" s="82" t="s">
        <v>3511</v>
      </c>
      <c r="N208" s="83" t="s">
        <v>3490</v>
      </c>
      <c r="O208" s="86" t="s">
        <v>3513</v>
      </c>
      <c r="P208" s="82" t="s">
        <v>3512</v>
      </c>
      <c r="Q208" s="85"/>
      <c r="S208" s="82" t="s">
        <v>869</v>
      </c>
      <c r="AA208" s="82" t="s">
        <v>868</v>
      </c>
    </row>
    <row r="209" spans="1:28" ht="25">
      <c r="A209">
        <v>209</v>
      </c>
      <c r="B209">
        <v>0</v>
      </c>
      <c r="C209" t="s">
        <v>1225</v>
      </c>
      <c r="D209" t="s">
        <v>22</v>
      </c>
      <c r="E209" s="1" t="s">
        <v>3089</v>
      </c>
      <c r="F209" t="s">
        <v>1712</v>
      </c>
      <c r="J209" s="18">
        <v>3300063</v>
      </c>
      <c r="K209">
        <v>11</v>
      </c>
      <c r="L209" t="s">
        <v>240</v>
      </c>
      <c r="M209" t="s">
        <v>3257</v>
      </c>
      <c r="N209" s="1"/>
      <c r="P209" t="s">
        <v>1227</v>
      </c>
      <c r="Q209" s="10" t="s">
        <v>1228</v>
      </c>
      <c r="S209" t="s">
        <v>1229</v>
      </c>
      <c r="V209" t="s">
        <v>1230</v>
      </c>
      <c r="W209" t="s">
        <v>1231</v>
      </c>
      <c r="Y209" s="2">
        <v>46149</v>
      </c>
      <c r="Z209" t="s">
        <v>22</v>
      </c>
      <c r="AA209" t="s">
        <v>1226</v>
      </c>
      <c r="AB209" s="1" t="s">
        <v>1424</v>
      </c>
    </row>
  </sheetData>
  <autoFilter ref="A2:AN209" xr:uid="{64241443-2F33-47E7-A30A-4CF1A6F8BD97}">
    <sortState xmlns:xlrd2="http://schemas.microsoft.com/office/spreadsheetml/2017/richdata2" ref="A3:Y209">
      <sortCondition ref="A2:A209"/>
    </sortState>
  </autoFilter>
  <phoneticPr fontId="1"/>
  <hyperlinks>
    <hyperlink ref="S6" r:id="rId1" xr:uid="{7D40121F-F646-41F3-83FD-65D537D6EDF4}"/>
    <hyperlink ref="S19" r:id="rId2" xr:uid="{06DC3729-3C31-4647-84BF-C572F19C3274}"/>
    <hyperlink ref="S20" r:id="rId3" xr:uid="{673F85C8-8ADA-4287-A79A-C32C41D98E14}"/>
    <hyperlink ref="S24" r:id="rId4" xr:uid="{CA08D35C-00B9-48FD-8866-FC08DF4BF833}"/>
    <hyperlink ref="S25" r:id="rId5" xr:uid="{99C68297-139B-4433-9953-3288043AC718}"/>
    <hyperlink ref="S26" r:id="rId6" xr:uid="{E0B37D5F-C329-4BE7-8370-A42EE0A41A05}"/>
    <hyperlink ref="S27" r:id="rId7" xr:uid="{6D46FEA0-0FDE-4B26-9590-B4369CBA395C}"/>
    <hyperlink ref="S30" r:id="rId8" xr:uid="{6708FB9E-232D-44E9-BD4E-C01267887A75}"/>
    <hyperlink ref="S10" r:id="rId9" xr:uid="{787AA5F3-2C5B-4FAF-8E2F-2094ABB1658D}"/>
    <hyperlink ref="S8" r:id="rId10" xr:uid="{97AE7DDF-8E1D-4459-A47E-D1B40DFBC565}"/>
    <hyperlink ref="S32" r:id="rId11" xr:uid="{5E6341F6-67B4-4E98-9531-10440F718005}"/>
    <hyperlink ref="S33" r:id="rId12" xr:uid="{2C0F7FF7-F7BF-49C1-BF7F-C99B3A3D7949}"/>
    <hyperlink ref="S36" r:id="rId13" xr:uid="{1F208424-099F-441D-9423-9AB2CA5C1B86}"/>
    <hyperlink ref="S108" r:id="rId14" xr:uid="{33418A45-16E8-4E1F-85F5-CC1F5E26C949}"/>
    <hyperlink ref="S113" r:id="rId15" xr:uid="{9CF77965-7A00-47D2-BCEB-3AF7739E8FC4}"/>
    <hyperlink ref="S120" r:id="rId16" xr:uid="{B17454A8-5412-4639-B550-AEE6FAA7F9D3}"/>
    <hyperlink ref="S128" r:id="rId17" xr:uid="{3E0FDAF4-1441-4176-B4EC-23FAEEC5D3C4}"/>
    <hyperlink ref="S137" r:id="rId18" xr:uid="{6C7BD570-5FE2-4164-AD86-77F6019C5E79}"/>
    <hyperlink ref="S159" r:id="rId19" xr:uid="{E3E90641-31C3-4767-AEE4-463011531E8E}"/>
    <hyperlink ref="S174" r:id="rId20" xr:uid="{2B3127D2-4B88-4C16-98FE-BFA471DF9D93}"/>
    <hyperlink ref="S205" r:id="rId21" xr:uid="{2F83F629-0D26-4597-B166-AC9AFA1CDAFE}"/>
    <hyperlink ref="S119" r:id="rId22" xr:uid="{6401FFA6-3EA2-4CFA-8F5E-A2FC60BE1B48}"/>
    <hyperlink ref="S93" r:id="rId23" xr:uid="{B4D34885-22C3-4C4E-82B4-11F6DD7BF3B0}"/>
    <hyperlink ref="S88" r:id="rId24" xr:uid="{2B9BEC63-1E57-4ECF-9F65-CD98A76A7A3C}"/>
    <hyperlink ref="T88" r:id="rId25" xr:uid="{3768A512-D022-450C-9D7A-7CC2EFAD6002}"/>
    <hyperlink ref="S73" r:id="rId26" xr:uid="{AFD4EF00-CA27-4F2D-9040-FA8621292795}"/>
    <hyperlink ref="S68" r:id="rId27" xr:uid="{3BA8FCA4-BCD8-406A-A8D8-400420DB7752}"/>
    <hyperlink ref="S63" r:id="rId28" xr:uid="{2F9D2B22-2CDC-440B-8EE4-0B32F4C140DD}"/>
    <hyperlink ref="S61" r:id="rId29" xr:uid="{46C18BAE-EE54-478F-BE82-4BD3B1E68FE1}"/>
    <hyperlink ref="S52" r:id="rId30" xr:uid="{0173A96A-1458-493D-BF27-65A0E83F334B}"/>
    <hyperlink ref="S50" r:id="rId31" xr:uid="{8883968C-2A7F-4EA3-A197-A12E5233004A}"/>
    <hyperlink ref="S49" r:id="rId32" xr:uid="{39EDDED6-DD6B-4D6A-BF63-CD4640F50F8C}"/>
    <hyperlink ref="S44" r:id="rId33" xr:uid="{444B635E-5FB1-43DD-946C-D2B3B285CADB}"/>
    <hyperlink ref="S43" r:id="rId34" xr:uid="{A4E5381A-9DAC-4763-BB16-5D7835DAB46B}"/>
    <hyperlink ref="S42" r:id="rId35" xr:uid="{306DFD2E-268A-48BD-87B5-14E857214F1A}"/>
    <hyperlink ref="S39" r:id="rId36" xr:uid="{93C00F6E-12E6-48E3-914C-F4A9C015E215}"/>
    <hyperlink ref="S38" r:id="rId37" xr:uid="{65BE0F1B-B678-49FF-8403-525B2825AD0A}"/>
    <hyperlink ref="W65" r:id="rId38" xr:uid="{F18DFD64-D454-4862-B106-FC2F67CE21EB}"/>
    <hyperlink ref="W160" r:id="rId39" xr:uid="{69793403-F630-4520-9627-B8CCA36AC3B9}"/>
    <hyperlink ref="W168" r:id="rId40" xr:uid="{F18B592F-80A4-4915-8B9C-4FF99AC9F88C}"/>
    <hyperlink ref="W171" r:id="rId41" xr:uid="{CB360426-A964-44B7-B7F2-2B16D4DE8518}"/>
    <hyperlink ref="W176" r:id="rId42" xr:uid="{588B0B26-BA2B-4039-82D3-E5D2B38B4DAC}"/>
    <hyperlink ref="W180" r:id="rId43" xr:uid="{F4FE9330-8FBA-46C2-8C39-F281E320F701}"/>
    <hyperlink ref="W189" r:id="rId44" xr:uid="{A60BDB2F-4AE7-4AB8-8182-53EDD130546B}"/>
    <hyperlink ref="O208" r:id="rId45" xr:uid="{BCA39853-289E-496B-9793-B4D568CF420F}"/>
  </hyperlinks>
  <pageMargins left="0.7" right="0.7" top="0.75" bottom="0.75" header="0.3" footer="0.3"/>
  <legacyDrawing r:id="rId46"/>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68E13F-D569-4660-9E87-9B2FBDDF7F66}">
  <sheetPr>
    <outlinePr summaryBelow="0" summaryRight="0"/>
    <pageSetUpPr fitToPage="1"/>
  </sheetPr>
  <dimension ref="A1:H43"/>
  <sheetViews>
    <sheetView view="pageBreakPreview" topLeftCell="A12" zoomScale="90" zoomScaleNormal="100" zoomScaleSheetLayoutView="90" workbookViewId="0">
      <selection activeCell="M8" sqref="M8"/>
    </sheetView>
  </sheetViews>
  <sheetFormatPr defaultColWidth="12.6328125" defaultRowHeight="15.75" customHeight="1"/>
  <cols>
    <col min="1" max="1" width="12.6328125" style="20"/>
    <col min="2" max="2" width="14.1796875" style="20" customWidth="1"/>
    <col min="3" max="3" width="16.90625" style="20" customWidth="1"/>
    <col min="4" max="4" width="21.81640625" style="20" customWidth="1"/>
    <col min="5" max="5" width="4.36328125" style="20" customWidth="1"/>
    <col min="6" max="6" width="11.81640625" style="20" customWidth="1"/>
    <col min="7" max="7" width="12.6328125" style="20"/>
    <col min="8" max="8" width="14.1796875" style="20" customWidth="1"/>
    <col min="9" max="16384" width="12.6328125" style="20"/>
  </cols>
  <sheetData>
    <row r="1" spans="1:8" ht="16.5">
      <c r="A1" s="80" t="s">
        <v>3472</v>
      </c>
      <c r="B1" s="79" t="s">
        <v>3475</v>
      </c>
      <c r="C1" s="21"/>
      <c r="D1" s="21"/>
      <c r="E1" s="21"/>
      <c r="F1" s="21"/>
      <c r="G1" s="78" t="s">
        <v>3471</v>
      </c>
      <c r="H1" s="77" t="s">
        <v>3474</v>
      </c>
    </row>
    <row r="2" spans="1:8" ht="27" customHeight="1">
      <c r="A2" s="51"/>
      <c r="B2" s="76"/>
      <c r="C2" s="76"/>
      <c r="D2" s="76"/>
      <c r="E2" s="76"/>
      <c r="F2" s="76"/>
      <c r="G2" s="76"/>
      <c r="H2" s="70"/>
    </row>
    <row r="3" spans="1:8" ht="32.5">
      <c r="A3" s="92" t="s">
        <v>3470</v>
      </c>
      <c r="B3" s="89"/>
      <c r="C3" s="89"/>
      <c r="D3" s="89"/>
      <c r="E3" s="89"/>
      <c r="F3" s="89"/>
      <c r="G3" s="89"/>
      <c r="H3" s="89"/>
    </row>
    <row r="4" spans="1:8" ht="38.25" customHeight="1">
      <c r="A4" s="51"/>
      <c r="B4" s="51"/>
      <c r="C4" s="51"/>
      <c r="D4" s="21"/>
      <c r="E4" s="75"/>
      <c r="F4" s="51"/>
      <c r="G4" s="51"/>
      <c r="H4" s="70"/>
    </row>
    <row r="5" spans="1:8" ht="16.5">
      <c r="A5" s="51"/>
      <c r="B5" s="51"/>
      <c r="C5" s="51"/>
      <c r="D5" s="21"/>
      <c r="E5" s="75"/>
      <c r="F5" s="51"/>
      <c r="G5" s="51"/>
      <c r="H5" s="51"/>
    </row>
    <row r="6" spans="1:8" ht="25">
      <c r="A6" s="93" t="s">
        <v>3469</v>
      </c>
      <c r="B6" s="89"/>
      <c r="C6" s="89"/>
      <c r="D6" s="21"/>
      <c r="E6" s="74" t="s">
        <v>3468</v>
      </c>
      <c r="F6" s="73"/>
      <c r="G6" s="73"/>
      <c r="H6" s="72"/>
    </row>
    <row r="7" spans="1:8" ht="11.25" customHeight="1">
      <c r="A7" s="94"/>
      <c r="B7" s="89"/>
      <c r="C7" s="89"/>
      <c r="D7" s="21"/>
      <c r="E7" s="74"/>
      <c r="F7" s="73"/>
      <c r="G7" s="73"/>
      <c r="H7" s="72"/>
    </row>
    <row r="8" spans="1:8" ht="16.5">
      <c r="A8" s="95" t="s">
        <v>3473</v>
      </c>
      <c r="B8" s="96"/>
      <c r="C8" s="96"/>
      <c r="D8" s="21"/>
      <c r="E8" s="94" t="s">
        <v>3467</v>
      </c>
      <c r="F8" s="94"/>
      <c r="G8" s="94"/>
      <c r="H8" s="94"/>
    </row>
    <row r="9" spans="1:8" ht="16.5">
      <c r="A9" s="96"/>
      <c r="B9" s="96"/>
      <c r="C9" s="96"/>
      <c r="D9" s="21"/>
      <c r="E9" s="94" t="s">
        <v>3466</v>
      </c>
      <c r="F9" s="94"/>
      <c r="G9" s="94"/>
      <c r="H9" s="94"/>
    </row>
    <row r="10" spans="1:8" ht="16.5">
      <c r="A10" s="96"/>
      <c r="B10" s="96"/>
      <c r="C10" s="96"/>
      <c r="D10" s="21"/>
      <c r="E10" s="94" t="s">
        <v>3465</v>
      </c>
      <c r="F10" s="94"/>
      <c r="G10" s="94"/>
      <c r="H10" s="94"/>
    </row>
    <row r="11" spans="1:8" ht="9" customHeight="1">
      <c r="A11" s="23"/>
      <c r="B11" s="23"/>
      <c r="C11" s="23"/>
      <c r="D11" s="21"/>
      <c r="E11" s="71"/>
      <c r="F11" s="21"/>
      <c r="G11" s="21"/>
      <c r="H11" s="21"/>
    </row>
    <row r="12" spans="1:8" ht="26.25" customHeight="1">
      <c r="A12" s="93" t="s">
        <v>3464</v>
      </c>
      <c r="B12" s="89"/>
      <c r="C12" s="89"/>
      <c r="D12" s="70"/>
      <c r="E12" s="97" t="s">
        <v>3463</v>
      </c>
      <c r="F12" s="89"/>
      <c r="G12" s="89"/>
      <c r="H12" s="89"/>
    </row>
    <row r="13" spans="1:8" ht="9" customHeight="1">
      <c r="A13" s="98" t="s">
        <v>3476</v>
      </c>
      <c r="B13" s="89"/>
      <c r="C13" s="89"/>
      <c r="D13" s="21"/>
      <c r="E13" s="69"/>
      <c r="F13" s="69"/>
      <c r="G13" s="69"/>
      <c r="H13" s="69"/>
    </row>
    <row r="14" spans="1:8" ht="21.75" customHeight="1">
      <c r="A14" s="90"/>
      <c r="B14" s="90"/>
      <c r="C14" s="90"/>
      <c r="D14" s="21"/>
      <c r="E14" s="99" t="s">
        <v>3462</v>
      </c>
      <c r="F14" s="99"/>
      <c r="G14" s="99"/>
      <c r="H14" s="99"/>
    </row>
    <row r="15" spans="1:8" ht="21.75" customHeight="1">
      <c r="A15" s="93" t="s">
        <v>3461</v>
      </c>
      <c r="B15" s="89"/>
      <c r="C15" s="89"/>
      <c r="D15" s="21"/>
      <c r="E15" s="99" t="s">
        <v>3460</v>
      </c>
      <c r="F15" s="99"/>
      <c r="G15" s="99"/>
      <c r="H15" s="99"/>
    </row>
    <row r="16" spans="1:8" ht="21.75" customHeight="1">
      <c r="A16" s="88">
        <f>H36</f>
        <v>0</v>
      </c>
      <c r="B16" s="89"/>
      <c r="C16" s="89"/>
      <c r="D16" s="21"/>
      <c r="E16" s="91" t="s">
        <v>3459</v>
      </c>
      <c r="F16" s="89"/>
      <c r="G16" s="89"/>
      <c r="H16" s="89"/>
    </row>
    <row r="17" spans="1:8" ht="16.5">
      <c r="A17" s="90"/>
      <c r="B17" s="90"/>
      <c r="C17" s="90"/>
      <c r="D17" s="21"/>
      <c r="E17" s="23"/>
      <c r="F17" s="23"/>
      <c r="G17" s="23"/>
      <c r="H17" s="23"/>
    </row>
    <row r="18" spans="1:8" ht="31.5" customHeight="1">
      <c r="A18" s="21"/>
      <c r="B18" s="21"/>
      <c r="C18" s="21"/>
      <c r="D18" s="21"/>
      <c r="E18" s="21"/>
      <c r="F18" s="21"/>
      <c r="G18" s="21"/>
      <c r="H18" s="21"/>
    </row>
    <row r="19" spans="1:8" ht="26.25" customHeight="1">
      <c r="A19" s="68" t="s">
        <v>3458</v>
      </c>
      <c r="B19" s="67"/>
      <c r="C19" s="67"/>
      <c r="D19" s="66"/>
      <c r="E19" s="64"/>
      <c r="F19" s="65" t="s">
        <v>3457</v>
      </c>
      <c r="G19" s="64"/>
      <c r="H19" s="64" t="s">
        <v>3456</v>
      </c>
    </row>
    <row r="20" spans="1:8" ht="17">
      <c r="A20" s="101" t="s">
        <v>3455</v>
      </c>
      <c r="B20" s="89"/>
      <c r="C20" s="89"/>
      <c r="D20" s="63"/>
      <c r="E20" s="62"/>
      <c r="F20" s="61">
        <v>1</v>
      </c>
      <c r="G20" s="60"/>
      <c r="H20" s="42"/>
    </row>
    <row r="21" spans="1:8" ht="17">
      <c r="A21" s="102" t="s">
        <v>3477</v>
      </c>
      <c r="B21" s="90"/>
      <c r="C21" s="90"/>
      <c r="D21" s="59"/>
      <c r="E21" s="58"/>
      <c r="F21" s="57"/>
      <c r="G21" s="52"/>
      <c r="H21" s="46"/>
    </row>
    <row r="22" spans="1:8" ht="17">
      <c r="A22" s="101">
        <f>IF(F22="",,"ランニングロイヤリティ")</f>
        <v>0</v>
      </c>
      <c r="B22" s="89"/>
      <c r="C22" s="89"/>
      <c r="D22" s="21"/>
      <c r="E22" s="45"/>
      <c r="F22" s="56"/>
      <c r="G22" s="55"/>
      <c r="H22" s="54">
        <f>IF(F22="",,F22*2500)</f>
        <v>0</v>
      </c>
    </row>
    <row r="23" spans="1:8" ht="17">
      <c r="A23" s="103">
        <f>IF(F22="",,"*"&amp;VLOOKUP(B1,[1]支払管理表!D2:T43,COLUMN([1]支払管理表!O1)-3,0)&amp;"〜"&amp;VLOOKUP(B1,[1]支払管理表!D2:T43,COLUMN([1]支払管理表!P1)-3,0))</f>
        <v>0</v>
      </c>
      <c r="B23" s="90"/>
      <c r="C23" s="90"/>
      <c r="D23" s="23"/>
      <c r="E23" s="49"/>
      <c r="F23" s="53"/>
      <c r="G23" s="52"/>
      <c r="H23" s="46"/>
    </row>
    <row r="24" spans="1:8" ht="17">
      <c r="A24" s="51"/>
      <c r="B24" s="21"/>
      <c r="C24" s="21"/>
      <c r="D24" s="21"/>
      <c r="E24" s="45"/>
      <c r="F24" s="44"/>
      <c r="G24" s="43"/>
      <c r="H24" s="42"/>
    </row>
    <row r="25" spans="1:8" ht="17">
      <c r="A25" s="50"/>
      <c r="B25" s="23"/>
      <c r="C25" s="23"/>
      <c r="D25" s="23"/>
      <c r="E25" s="49"/>
      <c r="F25" s="48"/>
      <c r="G25" s="47"/>
      <c r="H25" s="46"/>
    </row>
    <row r="26" spans="1:8" ht="17">
      <c r="A26" s="21"/>
      <c r="B26" s="21"/>
      <c r="C26" s="21"/>
      <c r="D26" s="21"/>
      <c r="E26" s="45"/>
      <c r="F26" s="44"/>
      <c r="G26" s="43"/>
      <c r="H26" s="42"/>
    </row>
    <row r="27" spans="1:8" ht="17">
      <c r="A27" s="23"/>
      <c r="B27" s="23"/>
      <c r="C27" s="23"/>
      <c r="D27" s="23"/>
      <c r="E27" s="49"/>
      <c r="F27" s="48"/>
      <c r="G27" s="47"/>
      <c r="H27" s="46"/>
    </row>
    <row r="28" spans="1:8" ht="17">
      <c r="A28" s="21"/>
      <c r="B28" s="21"/>
      <c r="C28" s="21"/>
      <c r="D28" s="21"/>
      <c r="E28" s="45"/>
      <c r="F28" s="44"/>
      <c r="G28" s="43"/>
      <c r="H28" s="42"/>
    </row>
    <row r="29" spans="1:8" ht="17">
      <c r="A29" s="23"/>
      <c r="B29" s="23"/>
      <c r="C29" s="23"/>
      <c r="D29" s="23"/>
      <c r="E29" s="49"/>
      <c r="F29" s="48"/>
      <c r="G29" s="47"/>
      <c r="H29" s="46"/>
    </row>
    <row r="30" spans="1:8" ht="17">
      <c r="A30" s="21"/>
      <c r="B30" s="21"/>
      <c r="C30" s="21"/>
      <c r="D30" s="21"/>
      <c r="E30" s="45"/>
      <c r="F30" s="44"/>
      <c r="G30" s="43"/>
      <c r="H30" s="42"/>
    </row>
    <row r="31" spans="1:8" ht="17">
      <c r="A31" s="23"/>
      <c r="B31" s="23"/>
      <c r="C31" s="23"/>
      <c r="D31" s="23"/>
      <c r="E31" s="49"/>
      <c r="F31" s="48"/>
      <c r="G31" s="47"/>
      <c r="H31" s="46"/>
    </row>
    <row r="32" spans="1:8" ht="17">
      <c r="A32" s="21"/>
      <c r="B32" s="21"/>
      <c r="C32" s="21"/>
      <c r="D32" s="21"/>
      <c r="E32" s="45"/>
      <c r="F32" s="44"/>
      <c r="G32" s="43"/>
      <c r="H32" s="42"/>
    </row>
    <row r="33" spans="1:8" ht="17">
      <c r="A33" s="41"/>
      <c r="B33" s="41"/>
      <c r="C33" s="41"/>
      <c r="D33" s="41"/>
      <c r="E33" s="40"/>
      <c r="F33" s="39"/>
      <c r="G33" s="38"/>
      <c r="H33" s="37"/>
    </row>
    <row r="34" spans="1:8" ht="33" customHeight="1">
      <c r="A34" s="21"/>
      <c r="B34" s="21"/>
      <c r="C34" s="21"/>
      <c r="D34" s="21"/>
      <c r="E34" s="104" t="s">
        <v>3454</v>
      </c>
      <c r="F34" s="90"/>
      <c r="G34" s="90"/>
      <c r="H34" s="36">
        <f>SUM(H20:H33)</f>
        <v>0</v>
      </c>
    </row>
    <row r="35" spans="1:8" ht="33" customHeight="1">
      <c r="A35" s="21"/>
      <c r="B35" s="21"/>
      <c r="C35" s="21"/>
      <c r="D35" s="21"/>
      <c r="E35" s="105" t="s">
        <v>3453</v>
      </c>
      <c r="F35" s="106"/>
      <c r="G35" s="106"/>
      <c r="H35" s="35">
        <f>H34*0.1</f>
        <v>0</v>
      </c>
    </row>
    <row r="36" spans="1:8" ht="33" customHeight="1">
      <c r="A36" s="34"/>
      <c r="B36" s="34"/>
      <c r="C36" s="34"/>
      <c r="D36" s="34"/>
      <c r="E36" s="107" t="s">
        <v>3452</v>
      </c>
      <c r="F36" s="90"/>
      <c r="G36" s="90"/>
      <c r="H36" s="33">
        <f>SUM(H34:H35)</f>
        <v>0</v>
      </c>
    </row>
    <row r="37" spans="1:8" ht="34.5" customHeight="1">
      <c r="A37" s="21"/>
      <c r="B37" s="21"/>
      <c r="C37" s="21"/>
      <c r="D37" s="21"/>
      <c r="E37" s="21"/>
      <c r="F37" s="28"/>
      <c r="G37" s="28"/>
      <c r="H37" s="28"/>
    </row>
    <row r="38" spans="1:8" ht="17">
      <c r="A38" s="32"/>
      <c r="B38" s="31"/>
      <c r="C38" s="31"/>
      <c r="D38" s="31"/>
      <c r="E38" s="31"/>
      <c r="F38" s="30"/>
      <c r="G38" s="30"/>
      <c r="H38" s="29"/>
    </row>
    <row r="39" spans="1:8" ht="17">
      <c r="A39" s="100" t="s">
        <v>3451</v>
      </c>
      <c r="B39" s="89"/>
      <c r="C39" s="89"/>
      <c r="D39" s="89"/>
      <c r="E39" s="89"/>
      <c r="F39" s="28"/>
      <c r="G39" s="28"/>
      <c r="H39" s="27"/>
    </row>
    <row r="40" spans="1:8" ht="16.5">
      <c r="A40" s="100" t="s">
        <v>3450</v>
      </c>
      <c r="B40" s="89"/>
      <c r="C40" s="89"/>
      <c r="D40" s="89"/>
      <c r="E40" s="89"/>
      <c r="F40" s="89"/>
      <c r="G40" s="21"/>
      <c r="H40" s="25"/>
    </row>
    <row r="41" spans="1:8" ht="16.5">
      <c r="A41" s="26"/>
      <c r="B41" s="21"/>
      <c r="C41" s="21"/>
      <c r="D41" s="21"/>
      <c r="E41" s="21"/>
      <c r="F41" s="21"/>
      <c r="G41" s="21"/>
      <c r="H41" s="25"/>
    </row>
    <row r="42" spans="1:8" ht="16.5">
      <c r="A42" s="24"/>
      <c r="B42" s="23"/>
      <c r="C42" s="23"/>
      <c r="D42" s="23"/>
      <c r="E42" s="23"/>
      <c r="F42" s="23"/>
      <c r="G42" s="23"/>
      <c r="H42" s="22"/>
    </row>
    <row r="43" spans="1:8" ht="16.5">
      <c r="A43" s="21"/>
      <c r="B43" s="21"/>
      <c r="C43" s="21"/>
      <c r="D43" s="21"/>
      <c r="E43" s="21"/>
      <c r="F43" s="21"/>
      <c r="G43" s="21"/>
      <c r="H43" s="21"/>
    </row>
  </sheetData>
  <mergeCells count="24">
    <mergeCell ref="A39:E39"/>
    <mergeCell ref="A40:F40"/>
    <mergeCell ref="A20:C20"/>
    <mergeCell ref="A21:C21"/>
    <mergeCell ref="A22:C22"/>
    <mergeCell ref="A23:C23"/>
    <mergeCell ref="E34:G34"/>
    <mergeCell ref="E35:G35"/>
    <mergeCell ref="E36:G36"/>
    <mergeCell ref="A16:C17"/>
    <mergeCell ref="E16:H16"/>
    <mergeCell ref="A3:H3"/>
    <mergeCell ref="A6:C6"/>
    <mergeCell ref="A7:C7"/>
    <mergeCell ref="A8:C10"/>
    <mergeCell ref="E8:H8"/>
    <mergeCell ref="E9:H9"/>
    <mergeCell ref="E10:H10"/>
    <mergeCell ref="E12:H12"/>
    <mergeCell ref="A12:C12"/>
    <mergeCell ref="A13:C14"/>
    <mergeCell ref="A15:C15"/>
    <mergeCell ref="E15:H15"/>
    <mergeCell ref="E14:H14"/>
  </mergeCells>
  <phoneticPr fontId="1"/>
  <dataValidations count="1">
    <dataValidation type="decimal" operator="greaterThanOrEqual" allowBlank="1" showDropDown="1" showErrorMessage="1" sqref="F20:F33" xr:uid="{00000000-0002-0000-0500-000000000000}">
      <formula1>0</formula1>
    </dataValidation>
  </dataValidations>
  <printOptions horizontalCentered="1"/>
  <pageMargins left="0.7" right="0.7" top="0.75" bottom="0.75" header="0" footer="0"/>
  <pageSetup paperSize="9" scale="80" fitToHeight="0" pageOrder="overThenDown" orientation="portrait" cellComments="atEnd" r:id="rId1"/>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E77989-77D9-40FC-AEE5-6130E5D7F26B}">
  <sheetPr codeName="Sheet2"/>
  <dimension ref="A1:BG208"/>
  <sheetViews>
    <sheetView workbookViewId="0">
      <selection activeCell="AG3" sqref="AG3"/>
    </sheetView>
  </sheetViews>
  <sheetFormatPr defaultRowHeight="12.5"/>
  <cols>
    <col min="4" max="4" width="27" customWidth="1"/>
    <col min="5" max="5" width="33.1796875" customWidth="1"/>
  </cols>
  <sheetData>
    <row r="1" spans="1:58">
      <c r="A1" t="s">
        <v>2953</v>
      </c>
      <c r="C1" t="s">
        <v>2952</v>
      </c>
      <c r="I1" t="s">
        <v>0</v>
      </c>
      <c r="J1" t="s">
        <v>0</v>
      </c>
    </row>
    <row r="2" spans="1:58">
      <c r="B2" t="s">
        <v>2951</v>
      </c>
      <c r="C2" t="s">
        <v>2950</v>
      </c>
      <c r="X2" t="s">
        <v>2949</v>
      </c>
    </row>
    <row r="3" spans="1:58" ht="62.5">
      <c r="A3" t="s">
        <v>1</v>
      </c>
      <c r="B3" s="1" t="s">
        <v>2</v>
      </c>
      <c r="C3" t="s">
        <v>3</v>
      </c>
      <c r="D3" t="s">
        <v>4</v>
      </c>
      <c r="E3" t="s">
        <v>2948</v>
      </c>
      <c r="F3" t="s">
        <v>2947</v>
      </c>
      <c r="G3" t="s">
        <v>5</v>
      </c>
      <c r="H3" t="s">
        <v>2946</v>
      </c>
      <c r="J3" t="s">
        <v>0</v>
      </c>
      <c r="K3" t="s">
        <v>6</v>
      </c>
      <c r="L3" t="s">
        <v>7</v>
      </c>
      <c r="M3" t="s">
        <v>8</v>
      </c>
      <c r="N3" t="s">
        <v>9</v>
      </c>
      <c r="O3" t="s">
        <v>10</v>
      </c>
      <c r="P3" t="s">
        <v>11</v>
      </c>
      <c r="Q3" t="s">
        <v>2945</v>
      </c>
      <c r="R3" t="s">
        <v>2944</v>
      </c>
      <c r="S3" t="s">
        <v>2943</v>
      </c>
      <c r="T3" t="s">
        <v>2942</v>
      </c>
      <c r="U3" t="s">
        <v>2941</v>
      </c>
      <c r="V3" t="s">
        <v>2940</v>
      </c>
      <c r="W3" t="s">
        <v>2939</v>
      </c>
      <c r="X3" t="s">
        <v>2938</v>
      </c>
      <c r="Y3" t="s">
        <v>12</v>
      </c>
      <c r="Z3" t="s">
        <v>13</v>
      </c>
      <c r="AA3" t="s">
        <v>2920</v>
      </c>
      <c r="AB3" t="s">
        <v>2937</v>
      </c>
      <c r="AC3" t="s">
        <v>2936</v>
      </c>
      <c r="AD3" s="1" t="s">
        <v>2935</v>
      </c>
      <c r="AE3" t="s">
        <v>2934</v>
      </c>
      <c r="AF3" t="s">
        <v>2933</v>
      </c>
      <c r="AG3" s="1" t="s">
        <v>2932</v>
      </c>
      <c r="AH3" t="s">
        <v>2931</v>
      </c>
      <c r="AI3" t="s">
        <v>2930</v>
      </c>
      <c r="AJ3" t="s">
        <v>2929</v>
      </c>
      <c r="AK3" t="s">
        <v>2928</v>
      </c>
      <c r="AL3" t="s">
        <v>2927</v>
      </c>
      <c r="AM3" t="s">
        <v>2926</v>
      </c>
      <c r="AN3" t="s">
        <v>2925</v>
      </c>
      <c r="AO3" t="s">
        <v>2924</v>
      </c>
      <c r="AP3" t="s">
        <v>2923</v>
      </c>
      <c r="AQ3" t="s">
        <v>2917</v>
      </c>
      <c r="AR3" s="1" t="s">
        <v>2922</v>
      </c>
      <c r="AS3" s="1" t="s">
        <v>2921</v>
      </c>
      <c r="AT3" t="s">
        <v>2920</v>
      </c>
      <c r="AU3" s="1" t="s">
        <v>2919</v>
      </c>
      <c r="AV3" t="s">
        <v>2918</v>
      </c>
      <c r="AW3" t="s">
        <v>2917</v>
      </c>
      <c r="AX3" s="1" t="s">
        <v>2916</v>
      </c>
      <c r="AY3" s="1" t="s">
        <v>2915</v>
      </c>
      <c r="AZ3" t="s">
        <v>2914</v>
      </c>
      <c r="BA3" t="s">
        <v>2913</v>
      </c>
      <c r="BB3" t="s">
        <v>2912</v>
      </c>
      <c r="BC3" t="s">
        <v>2911</v>
      </c>
      <c r="BD3" t="s">
        <v>2910</v>
      </c>
      <c r="BE3" t="s">
        <v>2909</v>
      </c>
    </row>
    <row r="4" spans="1:58" ht="125">
      <c r="A4">
        <v>5</v>
      </c>
      <c r="B4">
        <v>3</v>
      </c>
      <c r="C4" s="1" t="s">
        <v>2908</v>
      </c>
      <c r="D4" t="s">
        <v>22</v>
      </c>
      <c r="E4" t="s">
        <v>23</v>
      </c>
      <c r="F4" t="s">
        <v>1785</v>
      </c>
      <c r="G4" s="1" t="s">
        <v>2907</v>
      </c>
      <c r="H4" t="s">
        <v>24</v>
      </c>
      <c r="J4" t="s">
        <v>25</v>
      </c>
      <c r="K4" t="s">
        <v>26</v>
      </c>
      <c r="M4" t="s">
        <v>27</v>
      </c>
      <c r="Q4" t="s">
        <v>2838</v>
      </c>
      <c r="R4" t="s">
        <v>20</v>
      </c>
      <c r="S4" t="s">
        <v>1849</v>
      </c>
      <c r="T4" t="s">
        <v>20</v>
      </c>
      <c r="U4" s="1" t="s">
        <v>2906</v>
      </c>
      <c r="V4" t="s">
        <v>2905</v>
      </c>
      <c r="W4" t="s">
        <v>2897</v>
      </c>
      <c r="X4" s="3">
        <v>46057</v>
      </c>
      <c r="Y4" s="3">
        <v>46057</v>
      </c>
      <c r="Z4" s="2">
        <v>44782</v>
      </c>
      <c r="AA4" s="2">
        <v>44795</v>
      </c>
      <c r="AB4" s="2">
        <v>45146</v>
      </c>
      <c r="AC4" s="1" t="s">
        <v>2764</v>
      </c>
      <c r="AD4" t="s">
        <v>1800</v>
      </c>
      <c r="AE4" t="s">
        <v>2887</v>
      </c>
      <c r="AG4" t="s">
        <v>2886</v>
      </c>
      <c r="AJ4" s="1" t="s">
        <v>2904</v>
      </c>
      <c r="AK4" t="s">
        <v>2774</v>
      </c>
      <c r="AL4" t="s">
        <v>2773</v>
      </c>
      <c r="AM4" s="2">
        <v>45022</v>
      </c>
      <c r="AN4" t="s">
        <v>1779</v>
      </c>
      <c r="AO4" t="s">
        <v>1778</v>
      </c>
      <c r="AP4" t="s">
        <v>2760</v>
      </c>
      <c r="AQ4" t="s">
        <v>20</v>
      </c>
      <c r="AR4" s="2">
        <v>44813</v>
      </c>
      <c r="AS4" s="2">
        <v>45082</v>
      </c>
      <c r="AT4" s="2">
        <v>45093</v>
      </c>
      <c r="AU4" t="s">
        <v>2569</v>
      </c>
      <c r="AV4" t="s">
        <v>2893</v>
      </c>
      <c r="AW4" s="2">
        <v>45199</v>
      </c>
      <c r="AX4" s="2">
        <v>45155</v>
      </c>
      <c r="AY4" s="2">
        <v>45104</v>
      </c>
      <c r="AZ4" t="s">
        <v>1764</v>
      </c>
      <c r="BC4" s="2">
        <v>45231</v>
      </c>
      <c r="BF4" t="s">
        <v>2903</v>
      </c>
    </row>
    <row r="5" spans="1:58" ht="87.5">
      <c r="A5">
        <v>2</v>
      </c>
      <c r="B5">
        <v>4</v>
      </c>
      <c r="C5" s="1" t="s">
        <v>2902</v>
      </c>
      <c r="D5" t="s">
        <v>15</v>
      </c>
      <c r="E5" s="1" t="s">
        <v>2901</v>
      </c>
      <c r="F5" t="s">
        <v>1785</v>
      </c>
      <c r="G5" s="1" t="s">
        <v>2900</v>
      </c>
      <c r="H5" t="s">
        <v>16</v>
      </c>
      <c r="J5" t="s">
        <v>17</v>
      </c>
      <c r="K5" t="s">
        <v>18</v>
      </c>
      <c r="M5" t="s">
        <v>19</v>
      </c>
      <c r="Q5" t="s">
        <v>2838</v>
      </c>
      <c r="R5" t="s">
        <v>20</v>
      </c>
      <c r="S5" t="s">
        <v>1800</v>
      </c>
      <c r="T5" t="s">
        <v>20</v>
      </c>
      <c r="U5" t="s">
        <v>2899</v>
      </c>
      <c r="V5" t="s">
        <v>2898</v>
      </c>
      <c r="W5" t="s">
        <v>2897</v>
      </c>
      <c r="X5" s="2">
        <v>45691</v>
      </c>
      <c r="Y5" s="2">
        <v>45691</v>
      </c>
      <c r="Z5" s="2">
        <v>44782</v>
      </c>
      <c r="AA5" s="2">
        <v>44802</v>
      </c>
      <c r="AB5" s="2">
        <v>45146</v>
      </c>
      <c r="AC5" s="1" t="s">
        <v>2764</v>
      </c>
      <c r="AD5" s="3">
        <v>46335</v>
      </c>
      <c r="AE5" t="s">
        <v>2887</v>
      </c>
      <c r="AG5" t="s">
        <v>2886</v>
      </c>
      <c r="AH5" s="1" t="s">
        <v>2896</v>
      </c>
      <c r="AI5" t="s">
        <v>2895</v>
      </c>
      <c r="AJ5" t="s">
        <v>2800</v>
      </c>
      <c r="AK5" t="s">
        <v>2774</v>
      </c>
      <c r="AL5" t="s">
        <v>2773</v>
      </c>
      <c r="AM5" s="2">
        <v>45022</v>
      </c>
      <c r="AN5" t="s">
        <v>1779</v>
      </c>
      <c r="AO5" t="s">
        <v>1778</v>
      </c>
      <c r="AP5" t="s">
        <v>2760</v>
      </c>
      <c r="AQ5" t="s">
        <v>20</v>
      </c>
      <c r="AR5" s="2">
        <v>44838</v>
      </c>
      <c r="AS5" s="2">
        <v>45132</v>
      </c>
      <c r="AT5" s="2">
        <v>45141</v>
      </c>
      <c r="AU5" t="s">
        <v>2894</v>
      </c>
      <c r="AV5" t="s">
        <v>2893</v>
      </c>
      <c r="AW5" s="2">
        <v>45199</v>
      </c>
      <c r="AX5" s="2">
        <v>45169</v>
      </c>
      <c r="AY5" s="2">
        <v>45183</v>
      </c>
      <c r="AZ5" t="s">
        <v>1764</v>
      </c>
      <c r="BC5" s="2">
        <v>45231</v>
      </c>
      <c r="BE5" t="s">
        <v>1800</v>
      </c>
    </row>
    <row r="6" spans="1:58" ht="87.5">
      <c r="A6">
        <v>9</v>
      </c>
      <c r="B6">
        <v>5</v>
      </c>
      <c r="C6" s="1" t="s">
        <v>2892</v>
      </c>
      <c r="D6" t="s">
        <v>29</v>
      </c>
      <c r="E6" t="s">
        <v>30</v>
      </c>
      <c r="F6" t="s">
        <v>1785</v>
      </c>
      <c r="G6" s="1" t="s">
        <v>2891</v>
      </c>
      <c r="H6" t="s">
        <v>31</v>
      </c>
      <c r="J6" t="s">
        <v>32</v>
      </c>
      <c r="K6" t="s">
        <v>33</v>
      </c>
      <c r="M6" t="s">
        <v>34</v>
      </c>
      <c r="Q6" t="s">
        <v>2838</v>
      </c>
      <c r="R6" t="s">
        <v>20</v>
      </c>
      <c r="S6" t="s">
        <v>1800</v>
      </c>
      <c r="T6" t="s">
        <v>20</v>
      </c>
      <c r="U6" t="s">
        <v>2890</v>
      </c>
      <c r="V6" t="s">
        <v>2889</v>
      </c>
      <c r="W6" t="s">
        <v>2888</v>
      </c>
      <c r="X6" s="3">
        <v>46066</v>
      </c>
      <c r="Y6" s="3">
        <v>46067</v>
      </c>
      <c r="Z6" s="2">
        <v>44795</v>
      </c>
      <c r="AA6" s="2">
        <v>44802</v>
      </c>
      <c r="AB6" s="2">
        <v>45159</v>
      </c>
      <c r="AC6" s="1" t="s">
        <v>2764</v>
      </c>
      <c r="AD6" t="s">
        <v>20</v>
      </c>
      <c r="AE6" t="s">
        <v>2887</v>
      </c>
      <c r="AG6" t="s">
        <v>2886</v>
      </c>
      <c r="AJ6" t="s">
        <v>2800</v>
      </c>
      <c r="AK6" t="s">
        <v>2774</v>
      </c>
      <c r="AL6" t="s">
        <v>2773</v>
      </c>
      <c r="AM6" s="2">
        <v>45022</v>
      </c>
      <c r="AN6" t="s">
        <v>1779</v>
      </c>
      <c r="AO6" t="s">
        <v>1778</v>
      </c>
      <c r="AP6" t="s">
        <v>2760</v>
      </c>
      <c r="AQ6" t="s">
        <v>20</v>
      </c>
      <c r="AR6" s="2">
        <v>44810</v>
      </c>
      <c r="AS6" s="2">
        <v>45082</v>
      </c>
      <c r="AT6" s="2">
        <v>45089</v>
      </c>
      <c r="AU6" t="s">
        <v>2885</v>
      </c>
      <c r="AV6" t="s">
        <v>2870</v>
      </c>
      <c r="AW6" s="2">
        <v>45230</v>
      </c>
      <c r="AX6" s="2">
        <v>45153</v>
      </c>
      <c r="AY6" s="2">
        <v>45104</v>
      </c>
      <c r="AZ6" t="s">
        <v>1764</v>
      </c>
      <c r="BC6" s="2">
        <v>45329</v>
      </c>
      <c r="BE6" s="3">
        <v>46280</v>
      </c>
      <c r="BF6" t="s">
        <v>2884</v>
      </c>
    </row>
    <row r="7" spans="1:58" ht="409.5">
      <c r="A7">
        <v>3</v>
      </c>
      <c r="B7">
        <v>6</v>
      </c>
      <c r="C7" s="1" t="s">
        <v>2883</v>
      </c>
      <c r="E7" t="s">
        <v>49</v>
      </c>
      <c r="F7" t="s">
        <v>1785</v>
      </c>
      <c r="G7" s="1" t="s">
        <v>2882</v>
      </c>
      <c r="H7" t="s">
        <v>50</v>
      </c>
      <c r="J7" t="s">
        <v>51</v>
      </c>
      <c r="K7" t="s">
        <v>52</v>
      </c>
      <c r="L7" s="1" t="s">
        <v>53</v>
      </c>
      <c r="M7" s="1" t="s">
        <v>54</v>
      </c>
      <c r="Q7" s="1" t="s">
        <v>2881</v>
      </c>
      <c r="R7" s="1" t="s">
        <v>2880</v>
      </c>
      <c r="S7" t="s">
        <v>1849</v>
      </c>
      <c r="T7" t="s">
        <v>20</v>
      </c>
      <c r="U7" s="1" t="s">
        <v>2879</v>
      </c>
      <c r="V7" s="1" t="s">
        <v>2878</v>
      </c>
      <c r="W7" t="s">
        <v>2877</v>
      </c>
      <c r="X7" t="s">
        <v>2876</v>
      </c>
      <c r="Z7" s="2">
        <v>44802</v>
      </c>
      <c r="AA7" s="2">
        <v>44806</v>
      </c>
      <c r="AB7" s="2">
        <v>45166</v>
      </c>
      <c r="AC7" t="s">
        <v>2802</v>
      </c>
      <c r="AD7" s="3">
        <v>46330</v>
      </c>
      <c r="AE7" t="s">
        <v>2526</v>
      </c>
      <c r="AG7" t="s">
        <v>2875</v>
      </c>
      <c r="AH7" s="1" t="s">
        <v>2874</v>
      </c>
      <c r="AJ7" t="s">
        <v>2800</v>
      </c>
      <c r="AK7" t="s">
        <v>2873</v>
      </c>
      <c r="AL7" t="s">
        <v>2872</v>
      </c>
      <c r="AM7" s="2">
        <v>45022</v>
      </c>
      <c r="AN7" t="s">
        <v>1779</v>
      </c>
      <c r="AP7" t="s">
        <v>2850</v>
      </c>
      <c r="AQ7" t="s">
        <v>20</v>
      </c>
      <c r="AR7" s="2">
        <v>44813</v>
      </c>
      <c r="AU7" t="s">
        <v>2871</v>
      </c>
      <c r="AV7" t="s">
        <v>2870</v>
      </c>
      <c r="AW7" s="1" t="s">
        <v>2869</v>
      </c>
      <c r="AX7" s="2">
        <v>45820</v>
      </c>
      <c r="AZ7" t="s">
        <v>1764</v>
      </c>
      <c r="BE7" t="s">
        <v>2868</v>
      </c>
      <c r="BF7" t="s">
        <v>2867</v>
      </c>
    </row>
    <row r="8" spans="1:58" ht="409.5">
      <c r="B8">
        <v>7</v>
      </c>
      <c r="C8" s="1" t="s">
        <v>2866</v>
      </c>
      <c r="D8" t="s">
        <v>15</v>
      </c>
      <c r="E8" t="s">
        <v>68</v>
      </c>
      <c r="F8" t="s">
        <v>1785</v>
      </c>
      <c r="G8" s="1" t="s">
        <v>2865</v>
      </c>
      <c r="H8" t="s">
        <v>44</v>
      </c>
      <c r="J8" t="s">
        <v>69</v>
      </c>
      <c r="K8" t="s">
        <v>70</v>
      </c>
      <c r="L8" t="s">
        <v>71</v>
      </c>
      <c r="M8" t="s">
        <v>72</v>
      </c>
      <c r="Q8" t="s">
        <v>2864</v>
      </c>
      <c r="T8" t="s">
        <v>20</v>
      </c>
      <c r="U8" s="1" t="s">
        <v>2863</v>
      </c>
      <c r="V8" s="1" t="s">
        <v>2862</v>
      </c>
      <c r="W8" t="s">
        <v>2861</v>
      </c>
      <c r="X8" s="3">
        <v>46093</v>
      </c>
      <c r="Z8" s="2">
        <v>44802</v>
      </c>
      <c r="AA8" s="2">
        <v>44809</v>
      </c>
      <c r="AB8" s="2">
        <v>45166</v>
      </c>
      <c r="AC8" s="1" t="s">
        <v>2777</v>
      </c>
      <c r="AE8" t="s">
        <v>2526</v>
      </c>
      <c r="AG8" t="s">
        <v>2860</v>
      </c>
      <c r="AJ8" t="s">
        <v>2775</v>
      </c>
      <c r="AK8" t="s">
        <v>2774</v>
      </c>
      <c r="AL8" t="s">
        <v>2859</v>
      </c>
      <c r="AM8" s="2">
        <v>45022</v>
      </c>
      <c r="AN8" t="s">
        <v>1779</v>
      </c>
      <c r="AO8" t="s">
        <v>1778</v>
      </c>
      <c r="AP8" t="s">
        <v>2850</v>
      </c>
      <c r="AQ8" t="s">
        <v>20</v>
      </c>
      <c r="AR8" s="2">
        <v>44813</v>
      </c>
      <c r="AS8" s="2">
        <v>45132</v>
      </c>
      <c r="AT8" s="2">
        <v>45135</v>
      </c>
      <c r="AU8" t="s">
        <v>1776</v>
      </c>
      <c r="AV8" t="s">
        <v>2458</v>
      </c>
      <c r="AW8" s="2">
        <v>45230</v>
      </c>
      <c r="AX8" s="2">
        <v>45250</v>
      </c>
      <c r="AY8" s="2">
        <v>45251</v>
      </c>
      <c r="BE8" s="3">
        <v>46280</v>
      </c>
      <c r="BF8" t="s">
        <v>2858</v>
      </c>
    </row>
    <row r="9" spans="1:58" ht="250">
      <c r="A9">
        <v>7</v>
      </c>
      <c r="B9">
        <v>8</v>
      </c>
      <c r="C9" s="1" t="s">
        <v>2857</v>
      </c>
      <c r="D9" t="s">
        <v>36</v>
      </c>
      <c r="E9" t="s">
        <v>37</v>
      </c>
      <c r="F9" t="s">
        <v>1785</v>
      </c>
      <c r="G9" s="1" t="s">
        <v>2856</v>
      </c>
      <c r="H9" t="s">
        <v>38</v>
      </c>
      <c r="J9" t="s">
        <v>39</v>
      </c>
      <c r="K9" t="s">
        <v>40</v>
      </c>
      <c r="M9" s="1" t="s">
        <v>41</v>
      </c>
      <c r="Q9" t="s">
        <v>2838</v>
      </c>
      <c r="R9" t="s">
        <v>20</v>
      </c>
      <c r="S9" t="s">
        <v>1849</v>
      </c>
      <c r="T9" t="s">
        <v>20</v>
      </c>
      <c r="U9" t="s">
        <v>2806</v>
      </c>
      <c r="V9" s="1" t="s">
        <v>2855</v>
      </c>
      <c r="W9" t="s">
        <v>2854</v>
      </c>
      <c r="X9" s="3">
        <v>46057</v>
      </c>
      <c r="Y9" s="3">
        <v>46057</v>
      </c>
      <c r="Z9" s="2">
        <v>44866</v>
      </c>
      <c r="AA9" s="2">
        <v>44823</v>
      </c>
      <c r="AB9" s="2">
        <v>45230</v>
      </c>
      <c r="AC9" s="1" t="s">
        <v>2764</v>
      </c>
      <c r="AE9" t="s">
        <v>2526</v>
      </c>
      <c r="AG9" t="s">
        <v>2853</v>
      </c>
      <c r="AH9" s="1" t="s">
        <v>2852</v>
      </c>
      <c r="AI9" t="s">
        <v>2851</v>
      </c>
      <c r="AJ9" t="s">
        <v>2761</v>
      </c>
      <c r="AK9" t="s">
        <v>2774</v>
      </c>
      <c r="AL9" t="s">
        <v>2773</v>
      </c>
      <c r="AM9" s="2">
        <v>45022</v>
      </c>
      <c r="AN9" t="s">
        <v>1779</v>
      </c>
      <c r="AO9" t="s">
        <v>1778</v>
      </c>
      <c r="AP9" t="s">
        <v>2850</v>
      </c>
      <c r="AQ9" t="s">
        <v>20</v>
      </c>
      <c r="AR9" s="2">
        <v>44824</v>
      </c>
      <c r="AS9" s="2">
        <v>45194</v>
      </c>
      <c r="AT9" s="2">
        <v>45201</v>
      </c>
      <c r="AU9" t="s">
        <v>1776</v>
      </c>
      <c r="AV9" t="s">
        <v>2811</v>
      </c>
      <c r="AW9" s="2">
        <v>45291</v>
      </c>
      <c r="AX9" s="2">
        <v>45257</v>
      </c>
      <c r="AY9" s="2">
        <v>45267</v>
      </c>
      <c r="AZ9" t="s">
        <v>1764</v>
      </c>
      <c r="BC9" s="2">
        <v>45791</v>
      </c>
      <c r="BF9" t="s">
        <v>2849</v>
      </c>
    </row>
    <row r="10" spans="1:58" ht="100">
      <c r="A10">
        <v>10</v>
      </c>
      <c r="B10">
        <v>9</v>
      </c>
      <c r="C10" s="1" t="s">
        <v>2848</v>
      </c>
      <c r="D10" t="s">
        <v>15</v>
      </c>
      <c r="E10" t="s">
        <v>56</v>
      </c>
      <c r="F10" t="s">
        <v>1785</v>
      </c>
      <c r="G10" s="1" t="s">
        <v>2847</v>
      </c>
      <c r="H10" t="s">
        <v>57</v>
      </c>
      <c r="J10" t="s">
        <v>58</v>
      </c>
      <c r="K10" t="s">
        <v>59</v>
      </c>
      <c r="M10" t="s">
        <v>60</v>
      </c>
      <c r="Q10" t="s">
        <v>2846</v>
      </c>
      <c r="R10" t="s">
        <v>2845</v>
      </c>
      <c r="S10" t="s">
        <v>1800</v>
      </c>
      <c r="T10" t="s">
        <v>20</v>
      </c>
      <c r="U10" t="s">
        <v>2844</v>
      </c>
      <c r="W10" t="s">
        <v>2843</v>
      </c>
      <c r="X10" s="3">
        <v>46113</v>
      </c>
      <c r="Z10" s="2">
        <v>44825</v>
      </c>
      <c r="AA10" s="2">
        <v>44845</v>
      </c>
      <c r="AB10" s="2">
        <v>45189</v>
      </c>
      <c r="AC10" s="1" t="s">
        <v>2842</v>
      </c>
      <c r="AD10" s="3">
        <v>46330</v>
      </c>
      <c r="AE10" t="s">
        <v>2526</v>
      </c>
      <c r="AG10" t="s">
        <v>2834</v>
      </c>
      <c r="AJ10" s="2">
        <v>44860</v>
      </c>
      <c r="AK10" t="s">
        <v>2774</v>
      </c>
      <c r="AL10" t="s">
        <v>2773</v>
      </c>
      <c r="AM10" s="2">
        <v>45022</v>
      </c>
      <c r="AN10" t="s">
        <v>1779</v>
      </c>
      <c r="AO10" t="s">
        <v>1778</v>
      </c>
      <c r="AP10" t="s">
        <v>2833</v>
      </c>
      <c r="AQ10" t="s">
        <v>20</v>
      </c>
      <c r="AR10" s="2">
        <v>44853</v>
      </c>
      <c r="AS10" s="2">
        <v>45104</v>
      </c>
      <c r="AT10" s="2">
        <v>45236</v>
      </c>
      <c r="AU10" t="s">
        <v>1776</v>
      </c>
      <c r="AV10" t="s">
        <v>2446</v>
      </c>
      <c r="AW10" s="2">
        <v>45260</v>
      </c>
      <c r="AX10" s="2">
        <v>45250</v>
      </c>
      <c r="AY10" s="2">
        <v>45267</v>
      </c>
      <c r="BF10" t="s">
        <v>2841</v>
      </c>
    </row>
    <row r="11" spans="1:58" ht="125">
      <c r="A11">
        <v>8</v>
      </c>
      <c r="B11">
        <v>10</v>
      </c>
      <c r="C11" s="1" t="s">
        <v>2840</v>
      </c>
      <c r="D11" t="s">
        <v>15</v>
      </c>
      <c r="E11" t="s">
        <v>43</v>
      </c>
      <c r="F11" t="s">
        <v>1785</v>
      </c>
      <c r="G11" s="1" t="s">
        <v>2839</v>
      </c>
      <c r="H11" t="s">
        <v>44</v>
      </c>
      <c r="J11" t="s">
        <v>45</v>
      </c>
      <c r="K11" t="s">
        <v>46</v>
      </c>
      <c r="M11" s="1" t="s">
        <v>47</v>
      </c>
      <c r="Q11" t="s">
        <v>2838</v>
      </c>
      <c r="R11" t="s">
        <v>20</v>
      </c>
      <c r="S11" t="s">
        <v>1849</v>
      </c>
      <c r="T11" t="s">
        <v>20</v>
      </c>
      <c r="U11" t="s">
        <v>2837</v>
      </c>
      <c r="V11" t="s">
        <v>2836</v>
      </c>
      <c r="W11" t="s">
        <v>2835</v>
      </c>
      <c r="X11" s="2">
        <v>45691</v>
      </c>
      <c r="Y11" s="2">
        <v>45691</v>
      </c>
      <c r="Z11" s="2">
        <v>44845</v>
      </c>
      <c r="AA11" s="2">
        <v>44845</v>
      </c>
      <c r="AB11" s="2">
        <v>45209</v>
      </c>
      <c r="AC11" t="s">
        <v>2802</v>
      </c>
      <c r="AE11" t="s">
        <v>2526</v>
      </c>
      <c r="AG11" t="s">
        <v>2834</v>
      </c>
      <c r="AJ11" t="s">
        <v>2775</v>
      </c>
      <c r="AK11" t="s">
        <v>2774</v>
      </c>
      <c r="AL11" t="s">
        <v>2773</v>
      </c>
      <c r="AM11" s="2">
        <v>45022</v>
      </c>
      <c r="AN11" t="s">
        <v>1779</v>
      </c>
      <c r="AO11" t="s">
        <v>1778</v>
      </c>
      <c r="AP11" t="s">
        <v>2833</v>
      </c>
      <c r="AQ11" t="s">
        <v>20</v>
      </c>
      <c r="AR11" s="2">
        <v>44869</v>
      </c>
      <c r="AS11" s="2">
        <v>45183</v>
      </c>
      <c r="AT11" s="2">
        <v>45205</v>
      </c>
      <c r="AU11" t="s">
        <v>1776</v>
      </c>
      <c r="AV11" t="s">
        <v>2797</v>
      </c>
      <c r="AW11" s="2">
        <v>45260</v>
      </c>
      <c r="AX11" s="2">
        <v>45231</v>
      </c>
      <c r="AY11" s="2">
        <v>45251</v>
      </c>
      <c r="AZ11" t="s">
        <v>1764</v>
      </c>
      <c r="BC11" s="2">
        <v>45609</v>
      </c>
      <c r="BE11" t="s">
        <v>2832</v>
      </c>
    </row>
    <row r="12" spans="1:58" ht="250">
      <c r="B12">
        <v>11</v>
      </c>
      <c r="C12" s="1" t="s">
        <v>2831</v>
      </c>
      <c r="D12" t="s">
        <v>15</v>
      </c>
      <c r="E12" t="s">
        <v>62</v>
      </c>
      <c r="F12" t="s">
        <v>1785</v>
      </c>
      <c r="G12" s="1" t="s">
        <v>2830</v>
      </c>
      <c r="H12" t="s">
        <v>63</v>
      </c>
      <c r="J12" t="s">
        <v>64</v>
      </c>
      <c r="K12" t="s">
        <v>65</v>
      </c>
      <c r="M12" t="s">
        <v>66</v>
      </c>
      <c r="Q12" t="s">
        <v>2829</v>
      </c>
      <c r="S12" t="s">
        <v>20</v>
      </c>
      <c r="T12" t="s">
        <v>20</v>
      </c>
      <c r="U12" t="s">
        <v>20</v>
      </c>
      <c r="V12" s="1" t="s">
        <v>2828</v>
      </c>
      <c r="W12" t="s">
        <v>2827</v>
      </c>
      <c r="X12" s="3">
        <v>46079</v>
      </c>
      <c r="Y12" s="3">
        <v>46081</v>
      </c>
      <c r="Z12" s="2">
        <v>44847</v>
      </c>
      <c r="AA12" s="2">
        <v>44852</v>
      </c>
      <c r="AB12" s="2">
        <v>45211</v>
      </c>
      <c r="AC12" s="1" t="s">
        <v>2764</v>
      </c>
      <c r="AD12" t="s">
        <v>20</v>
      </c>
      <c r="AE12" t="s">
        <v>2526</v>
      </c>
      <c r="AG12" t="s">
        <v>2826</v>
      </c>
      <c r="AJ12" s="1" t="s">
        <v>2825</v>
      </c>
      <c r="AK12" t="s">
        <v>2824</v>
      </c>
      <c r="AL12" t="s">
        <v>2823</v>
      </c>
      <c r="AM12" s="2">
        <v>45022</v>
      </c>
      <c r="AN12" t="s">
        <v>1779</v>
      </c>
      <c r="AO12" t="s">
        <v>1778</v>
      </c>
      <c r="AP12" t="s">
        <v>2760</v>
      </c>
      <c r="AQ12" t="s">
        <v>20</v>
      </c>
      <c r="AR12" s="2">
        <v>44866</v>
      </c>
      <c r="AS12" s="2">
        <v>45160</v>
      </c>
      <c r="AT12" s="2">
        <v>45167</v>
      </c>
      <c r="AU12" t="s">
        <v>2822</v>
      </c>
      <c r="AV12" t="s">
        <v>2797</v>
      </c>
      <c r="AW12" s="2">
        <v>45260</v>
      </c>
      <c r="AX12" s="2">
        <v>45224</v>
      </c>
      <c r="AY12" s="2">
        <v>45240</v>
      </c>
      <c r="AZ12" t="s">
        <v>1764</v>
      </c>
      <c r="BE12" t="s">
        <v>2821</v>
      </c>
      <c r="BF12" t="s">
        <v>2820</v>
      </c>
    </row>
    <row r="13" spans="1:58" ht="100">
      <c r="B13">
        <v>12</v>
      </c>
      <c r="C13" s="1" t="s">
        <v>2819</v>
      </c>
      <c r="D13" t="s">
        <v>15</v>
      </c>
      <c r="E13" t="s">
        <v>79</v>
      </c>
      <c r="F13" t="s">
        <v>1785</v>
      </c>
      <c r="G13" s="1" t="s">
        <v>2818</v>
      </c>
      <c r="H13" t="s">
        <v>63</v>
      </c>
      <c r="J13" t="s">
        <v>80</v>
      </c>
      <c r="K13" t="s">
        <v>81</v>
      </c>
      <c r="M13" t="s">
        <v>82</v>
      </c>
      <c r="Q13" t="s">
        <v>2817</v>
      </c>
      <c r="S13" t="s">
        <v>20</v>
      </c>
      <c r="T13" t="s">
        <v>20</v>
      </c>
      <c r="U13" t="s">
        <v>20</v>
      </c>
      <c r="V13" t="s">
        <v>2817</v>
      </c>
      <c r="W13" t="s">
        <v>2804</v>
      </c>
      <c r="X13" s="3">
        <v>46093</v>
      </c>
      <c r="Z13" s="2">
        <v>44866</v>
      </c>
      <c r="AA13" s="2">
        <v>44869</v>
      </c>
      <c r="AB13" s="2">
        <v>45230</v>
      </c>
      <c r="AC13" s="1" t="s">
        <v>2816</v>
      </c>
      <c r="AD13" t="s">
        <v>20</v>
      </c>
      <c r="AE13" t="s">
        <v>2526</v>
      </c>
      <c r="AG13" t="s">
        <v>2815</v>
      </c>
      <c r="AJ13" t="s">
        <v>2814</v>
      </c>
      <c r="AK13" t="s">
        <v>2813</v>
      </c>
      <c r="AL13" t="s">
        <v>2761</v>
      </c>
      <c r="AM13" s="2">
        <v>45022</v>
      </c>
      <c r="AN13" t="s">
        <v>1779</v>
      </c>
      <c r="AO13" t="s">
        <v>1778</v>
      </c>
      <c r="AP13" t="s">
        <v>2760</v>
      </c>
      <c r="AQ13" t="s">
        <v>20</v>
      </c>
      <c r="AR13" t="s">
        <v>2812</v>
      </c>
      <c r="AS13" s="2">
        <v>45240</v>
      </c>
      <c r="AT13" s="2">
        <v>45261</v>
      </c>
      <c r="AU13" t="s">
        <v>1776</v>
      </c>
      <c r="AV13" t="s">
        <v>2811</v>
      </c>
      <c r="AW13" s="2">
        <v>45291</v>
      </c>
      <c r="AX13" s="2">
        <v>45251</v>
      </c>
      <c r="AY13" s="2">
        <v>45296</v>
      </c>
      <c r="AZ13" t="s">
        <v>1764</v>
      </c>
      <c r="BF13" t="s">
        <v>2810</v>
      </c>
    </row>
    <row r="14" spans="1:58" ht="237.5">
      <c r="B14">
        <v>14</v>
      </c>
      <c r="C14" t="s">
        <v>73</v>
      </c>
      <c r="E14" t="s">
        <v>74</v>
      </c>
      <c r="F14" t="s">
        <v>1785</v>
      </c>
      <c r="G14" s="1" t="s">
        <v>2809</v>
      </c>
      <c r="H14" t="s">
        <v>75</v>
      </c>
      <c r="L14" t="s">
        <v>76</v>
      </c>
      <c r="M14" t="s">
        <v>77</v>
      </c>
      <c r="Q14" t="s">
        <v>2808</v>
      </c>
      <c r="R14" s="1" t="s">
        <v>2807</v>
      </c>
      <c r="T14" t="s">
        <v>20</v>
      </c>
      <c r="U14" t="s">
        <v>2806</v>
      </c>
      <c r="V14" s="1" t="s">
        <v>2805</v>
      </c>
      <c r="W14" t="s">
        <v>2804</v>
      </c>
      <c r="X14" t="s">
        <v>2803</v>
      </c>
      <c r="Z14" s="2">
        <v>44855</v>
      </c>
      <c r="AA14" s="2">
        <v>44880</v>
      </c>
      <c r="AB14" s="2">
        <v>45219</v>
      </c>
      <c r="AC14" t="s">
        <v>2802</v>
      </c>
      <c r="AE14" t="s">
        <v>2526</v>
      </c>
      <c r="AG14" t="s">
        <v>2801</v>
      </c>
      <c r="AJ14" t="s">
        <v>2800</v>
      </c>
      <c r="AK14" t="s">
        <v>2774</v>
      </c>
      <c r="AL14" s="1" t="s">
        <v>2799</v>
      </c>
      <c r="AM14" s="2">
        <v>45022</v>
      </c>
      <c r="AN14" t="s">
        <v>1779</v>
      </c>
      <c r="AO14" t="s">
        <v>1778</v>
      </c>
      <c r="AP14" t="s">
        <v>2772</v>
      </c>
      <c r="AQ14" t="s">
        <v>20</v>
      </c>
      <c r="AR14" s="2">
        <v>44890</v>
      </c>
      <c r="AS14" s="1" t="s">
        <v>2798</v>
      </c>
      <c r="AT14" s="2">
        <v>45343</v>
      </c>
      <c r="AU14" t="s">
        <v>1776</v>
      </c>
      <c r="AV14" t="s">
        <v>2797</v>
      </c>
      <c r="AW14" s="2">
        <v>45260</v>
      </c>
      <c r="AX14" s="2">
        <v>45236</v>
      </c>
      <c r="AY14" s="2">
        <v>45240</v>
      </c>
    </row>
    <row r="15" spans="1:58" ht="125">
      <c r="B15">
        <v>15</v>
      </c>
      <c r="C15" s="1" t="s">
        <v>2796</v>
      </c>
      <c r="D15" t="s">
        <v>15</v>
      </c>
      <c r="E15" t="s">
        <v>91</v>
      </c>
      <c r="F15" t="s">
        <v>1785</v>
      </c>
      <c r="G15" s="1" t="s">
        <v>2795</v>
      </c>
      <c r="H15" t="s">
        <v>44</v>
      </c>
      <c r="J15" t="s">
        <v>92</v>
      </c>
      <c r="K15" t="s">
        <v>93</v>
      </c>
      <c r="M15" t="s">
        <v>94</v>
      </c>
      <c r="Q15" t="s">
        <v>2794</v>
      </c>
      <c r="R15" t="s">
        <v>2793</v>
      </c>
      <c r="S15" t="s">
        <v>1849</v>
      </c>
      <c r="T15" t="s">
        <v>20</v>
      </c>
      <c r="U15" t="s">
        <v>2792</v>
      </c>
      <c r="V15" s="1" t="s">
        <v>2791</v>
      </c>
      <c r="W15" t="s">
        <v>2790</v>
      </c>
      <c r="X15" s="3">
        <v>46093</v>
      </c>
      <c r="Z15" s="2">
        <v>44859</v>
      </c>
      <c r="AA15" s="2">
        <v>44873</v>
      </c>
      <c r="AB15" s="2">
        <v>45223</v>
      </c>
      <c r="AC15" s="1" t="s">
        <v>2777</v>
      </c>
      <c r="AE15" t="s">
        <v>2526</v>
      </c>
      <c r="AG15" t="s">
        <v>2789</v>
      </c>
      <c r="AJ15" t="s">
        <v>2788</v>
      </c>
      <c r="AK15" t="s">
        <v>2787</v>
      </c>
      <c r="AL15" t="s">
        <v>2787</v>
      </c>
      <c r="AM15" s="2">
        <v>45022</v>
      </c>
      <c r="AN15" t="s">
        <v>1779</v>
      </c>
      <c r="AO15" t="s">
        <v>1778</v>
      </c>
      <c r="AP15" t="s">
        <v>2772</v>
      </c>
      <c r="AQ15" t="s">
        <v>20</v>
      </c>
      <c r="AR15" s="2">
        <v>44879</v>
      </c>
      <c r="AS15" s="2">
        <v>45183</v>
      </c>
      <c r="AT15" s="2">
        <v>45188</v>
      </c>
      <c r="AU15" t="s">
        <v>1776</v>
      </c>
      <c r="AV15" t="s">
        <v>2786</v>
      </c>
      <c r="AW15" s="2">
        <v>45260</v>
      </c>
      <c r="AX15" s="2">
        <v>45631</v>
      </c>
      <c r="AY15" s="2">
        <v>45267</v>
      </c>
      <c r="BF15" t="s">
        <v>2785</v>
      </c>
    </row>
    <row r="16" spans="1:58" ht="125">
      <c r="A16">
        <v>16</v>
      </c>
      <c r="B16">
        <v>16</v>
      </c>
      <c r="C16" s="1" t="s">
        <v>2784</v>
      </c>
      <c r="D16" t="s">
        <v>15</v>
      </c>
      <c r="E16" t="s">
        <v>84</v>
      </c>
      <c r="F16" t="s">
        <v>1785</v>
      </c>
      <c r="G16" s="1" t="s">
        <v>2783</v>
      </c>
      <c r="H16" t="s">
        <v>85</v>
      </c>
      <c r="J16" t="s">
        <v>86</v>
      </c>
      <c r="K16" t="s">
        <v>87</v>
      </c>
      <c r="L16" t="s">
        <v>88</v>
      </c>
      <c r="M16" t="s">
        <v>89</v>
      </c>
      <c r="Q16" t="s">
        <v>2782</v>
      </c>
      <c r="R16" s="1" t="s">
        <v>2781</v>
      </c>
      <c r="S16" t="s">
        <v>1849</v>
      </c>
      <c r="T16" t="s">
        <v>20</v>
      </c>
      <c r="U16" t="s">
        <v>2780</v>
      </c>
      <c r="V16" t="s">
        <v>2779</v>
      </c>
      <c r="W16" t="s">
        <v>2778</v>
      </c>
      <c r="X16" s="2">
        <v>45688</v>
      </c>
      <c r="Y16" s="2">
        <v>45691</v>
      </c>
      <c r="Z16" s="2">
        <v>44896</v>
      </c>
      <c r="AA16" s="2">
        <v>44889</v>
      </c>
      <c r="AB16" s="2">
        <v>45260</v>
      </c>
      <c r="AC16" s="1" t="s">
        <v>2777</v>
      </c>
      <c r="AD16" t="s">
        <v>20</v>
      </c>
      <c r="AE16" t="s">
        <v>2526</v>
      </c>
      <c r="AG16" t="s">
        <v>2776</v>
      </c>
      <c r="AJ16" t="s">
        <v>2775</v>
      </c>
      <c r="AK16" t="s">
        <v>2774</v>
      </c>
      <c r="AL16" t="s">
        <v>2773</v>
      </c>
      <c r="AM16" s="2">
        <v>45022</v>
      </c>
      <c r="AN16" t="s">
        <v>1779</v>
      </c>
      <c r="AO16" t="s">
        <v>1778</v>
      </c>
      <c r="AP16" t="s">
        <v>2772</v>
      </c>
      <c r="AQ16" t="s">
        <v>20</v>
      </c>
      <c r="AR16" s="2">
        <v>44890</v>
      </c>
      <c r="AS16" s="2">
        <v>45240</v>
      </c>
      <c r="AT16" s="2">
        <v>45245</v>
      </c>
      <c r="AU16" t="s">
        <v>1776</v>
      </c>
      <c r="AV16" t="s">
        <v>2771</v>
      </c>
      <c r="AW16" s="2">
        <v>45306</v>
      </c>
      <c r="AX16" s="2">
        <v>45273</v>
      </c>
      <c r="AY16" s="2">
        <v>45281</v>
      </c>
      <c r="AZ16" t="s">
        <v>1764</v>
      </c>
      <c r="BF16" t="s">
        <v>2770</v>
      </c>
    </row>
    <row r="17" spans="1:58" ht="87.5">
      <c r="B17">
        <v>17</v>
      </c>
      <c r="C17" s="1" t="s">
        <v>2769</v>
      </c>
      <c r="D17" t="s">
        <v>15</v>
      </c>
      <c r="E17" t="s">
        <v>96</v>
      </c>
      <c r="F17" t="s">
        <v>1785</v>
      </c>
      <c r="G17" s="1" t="s">
        <v>2768</v>
      </c>
      <c r="H17" t="s">
        <v>97</v>
      </c>
      <c r="J17" t="s">
        <v>98</v>
      </c>
      <c r="K17" t="s">
        <v>99</v>
      </c>
      <c r="M17" t="s">
        <v>100</v>
      </c>
      <c r="Q17" t="s">
        <v>2767</v>
      </c>
      <c r="S17" t="s">
        <v>20</v>
      </c>
      <c r="T17" t="s">
        <v>20</v>
      </c>
      <c r="U17" t="s">
        <v>20</v>
      </c>
      <c r="V17" t="s">
        <v>2766</v>
      </c>
      <c r="W17" t="s">
        <v>2765</v>
      </c>
      <c r="X17" s="3">
        <v>46057</v>
      </c>
      <c r="Y17" s="3">
        <v>46057</v>
      </c>
      <c r="Z17" s="2">
        <v>44927</v>
      </c>
      <c r="AA17" s="2">
        <v>44903</v>
      </c>
      <c r="AB17" s="2">
        <v>45291</v>
      </c>
      <c r="AC17" s="1" t="s">
        <v>2764</v>
      </c>
      <c r="AD17" t="s">
        <v>20</v>
      </c>
      <c r="AE17" t="s">
        <v>2526</v>
      </c>
      <c r="AG17" t="s">
        <v>2763</v>
      </c>
      <c r="AJ17" t="s">
        <v>2762</v>
      </c>
      <c r="AK17" t="s">
        <v>2761</v>
      </c>
      <c r="AL17" t="s">
        <v>2761</v>
      </c>
      <c r="AM17" s="2">
        <v>45022</v>
      </c>
      <c r="AN17" t="s">
        <v>1779</v>
      </c>
      <c r="AO17" t="s">
        <v>1778</v>
      </c>
      <c r="AP17" t="s">
        <v>2760</v>
      </c>
      <c r="AQ17" t="s">
        <v>20</v>
      </c>
      <c r="AR17" s="2">
        <v>44908</v>
      </c>
      <c r="AS17" s="2">
        <v>45240</v>
      </c>
      <c r="AT17" s="2">
        <v>45250</v>
      </c>
      <c r="AU17" t="s">
        <v>2759</v>
      </c>
      <c r="AV17" t="s">
        <v>2758</v>
      </c>
      <c r="AW17" s="2">
        <v>45337</v>
      </c>
      <c r="AX17" s="2">
        <v>45296</v>
      </c>
      <c r="AY17" s="2">
        <v>45296</v>
      </c>
      <c r="AZ17" t="s">
        <v>1764</v>
      </c>
      <c r="BC17" s="2">
        <v>45609</v>
      </c>
      <c r="BD17" s="2">
        <v>45540</v>
      </c>
      <c r="BF17" t="s">
        <v>2757</v>
      </c>
    </row>
    <row r="18" spans="1:58" ht="125">
      <c r="B18">
        <v>19</v>
      </c>
      <c r="C18" s="1" t="s">
        <v>2756</v>
      </c>
      <c r="D18" t="s">
        <v>126</v>
      </c>
      <c r="E18" t="s">
        <v>127</v>
      </c>
      <c r="F18" t="s">
        <v>1785</v>
      </c>
      <c r="G18" s="1" t="s">
        <v>2755</v>
      </c>
      <c r="H18" t="s">
        <v>128</v>
      </c>
      <c r="J18" t="s">
        <v>129</v>
      </c>
      <c r="K18" t="s">
        <v>130</v>
      </c>
      <c r="M18" s="1" t="s">
        <v>131</v>
      </c>
      <c r="N18" t="s">
        <v>132</v>
      </c>
      <c r="Q18" t="s">
        <v>2754</v>
      </c>
      <c r="T18" t="s">
        <v>20</v>
      </c>
      <c r="U18" t="s">
        <v>2753</v>
      </c>
      <c r="V18" t="s">
        <v>2752</v>
      </c>
      <c r="W18" t="s">
        <v>2737</v>
      </c>
      <c r="X18" s="3">
        <v>46093</v>
      </c>
      <c r="Z18" s="2">
        <v>44958</v>
      </c>
      <c r="AA18" s="2">
        <v>44952</v>
      </c>
      <c r="AB18" s="2">
        <v>45322</v>
      </c>
      <c r="AC18" t="s">
        <v>20</v>
      </c>
      <c r="AE18" t="s">
        <v>2746</v>
      </c>
      <c r="AG18" t="s">
        <v>2746</v>
      </c>
      <c r="AJ18" s="2">
        <v>44952</v>
      </c>
      <c r="AK18" s="2">
        <v>44952</v>
      </c>
      <c r="AL18" s="2">
        <v>44952</v>
      </c>
      <c r="AM18" s="2">
        <v>45022</v>
      </c>
      <c r="AN18" t="s">
        <v>1779</v>
      </c>
      <c r="AO18" t="s">
        <v>1778</v>
      </c>
      <c r="AP18" t="s">
        <v>2735</v>
      </c>
      <c r="AQ18" t="s">
        <v>20</v>
      </c>
      <c r="AR18" s="2">
        <v>45013</v>
      </c>
      <c r="AS18" s="2">
        <v>45321</v>
      </c>
      <c r="AT18" s="2">
        <v>45335</v>
      </c>
      <c r="AU18" t="s">
        <v>1776</v>
      </c>
      <c r="AV18" t="s">
        <v>2743</v>
      </c>
      <c r="AW18" s="2">
        <v>45382</v>
      </c>
      <c r="AX18" s="2">
        <v>45351</v>
      </c>
      <c r="AY18" s="2">
        <v>45355</v>
      </c>
      <c r="AZ18" t="s">
        <v>1764</v>
      </c>
      <c r="BC18" t="s">
        <v>2751</v>
      </c>
      <c r="BF18" t="s">
        <v>1763</v>
      </c>
    </row>
    <row r="19" spans="1:58" ht="162.5">
      <c r="A19">
        <v>22</v>
      </c>
      <c r="B19">
        <v>20</v>
      </c>
      <c r="C19" s="1" t="s">
        <v>2750</v>
      </c>
      <c r="D19" t="s">
        <v>22</v>
      </c>
      <c r="E19" t="s">
        <v>120</v>
      </c>
      <c r="F19" t="s">
        <v>1785</v>
      </c>
      <c r="G19" s="1" t="s">
        <v>2749</v>
      </c>
      <c r="H19" t="s">
        <v>121</v>
      </c>
      <c r="J19" t="s">
        <v>122</v>
      </c>
      <c r="K19" t="s">
        <v>123</v>
      </c>
      <c r="M19" s="1" t="s">
        <v>124</v>
      </c>
      <c r="Q19" t="s">
        <v>2634</v>
      </c>
      <c r="S19" s="1" t="s">
        <v>2748</v>
      </c>
      <c r="T19" t="s">
        <v>20</v>
      </c>
      <c r="V19" t="s">
        <v>2747</v>
      </c>
      <c r="W19" t="s">
        <v>2737</v>
      </c>
      <c r="X19" s="3">
        <v>46059</v>
      </c>
      <c r="Y19" s="3">
        <v>46067</v>
      </c>
      <c r="Z19" s="2">
        <v>44958</v>
      </c>
      <c r="AA19" s="2">
        <v>44952</v>
      </c>
      <c r="AB19" s="2">
        <v>45322</v>
      </c>
      <c r="AC19" t="s">
        <v>20</v>
      </c>
      <c r="AE19" t="s">
        <v>2746</v>
      </c>
      <c r="AG19" t="s">
        <v>2746</v>
      </c>
      <c r="AJ19" s="2">
        <v>44952</v>
      </c>
      <c r="AK19" s="1" t="s">
        <v>2745</v>
      </c>
      <c r="AL19" s="1" t="s">
        <v>2745</v>
      </c>
      <c r="AM19" s="2">
        <v>45022</v>
      </c>
      <c r="AN19" t="s">
        <v>1779</v>
      </c>
      <c r="AO19" t="s">
        <v>1778</v>
      </c>
      <c r="AP19" t="s">
        <v>2735</v>
      </c>
      <c r="AQ19" t="s">
        <v>20</v>
      </c>
      <c r="AR19" s="2">
        <v>44963</v>
      </c>
      <c r="AS19" s="2">
        <v>45259</v>
      </c>
      <c r="AT19" s="2">
        <v>45264</v>
      </c>
      <c r="AU19" t="s">
        <v>2744</v>
      </c>
      <c r="AV19" t="s">
        <v>2743</v>
      </c>
      <c r="AW19" s="2">
        <v>45382</v>
      </c>
      <c r="AX19" s="2">
        <v>45351</v>
      </c>
      <c r="AY19" s="2">
        <v>45355</v>
      </c>
      <c r="AZ19" t="s">
        <v>1764</v>
      </c>
      <c r="BF19" t="s">
        <v>2742</v>
      </c>
    </row>
    <row r="20" spans="1:58" ht="409.5">
      <c r="B20">
        <v>21</v>
      </c>
      <c r="C20" s="1" t="s">
        <v>2741</v>
      </c>
      <c r="D20" t="s">
        <v>15</v>
      </c>
      <c r="E20" s="1" t="s">
        <v>140</v>
      </c>
      <c r="F20" t="s">
        <v>1785</v>
      </c>
      <c r="G20" s="1" t="s">
        <v>2740</v>
      </c>
      <c r="H20" t="s">
        <v>16</v>
      </c>
      <c r="J20" t="s">
        <v>141</v>
      </c>
      <c r="K20" t="s">
        <v>142</v>
      </c>
      <c r="L20" t="s">
        <v>143</v>
      </c>
      <c r="M20" t="s">
        <v>144</v>
      </c>
      <c r="Q20" t="s">
        <v>2739</v>
      </c>
      <c r="T20" t="s">
        <v>20</v>
      </c>
      <c r="V20" s="1" t="s">
        <v>2738</v>
      </c>
      <c r="W20" t="s">
        <v>2737</v>
      </c>
      <c r="X20" s="3">
        <v>46122</v>
      </c>
      <c r="Z20" s="2">
        <v>44958</v>
      </c>
      <c r="AA20" s="2">
        <v>44957</v>
      </c>
      <c r="AB20" s="2">
        <v>45322</v>
      </c>
      <c r="AC20" t="s">
        <v>20</v>
      </c>
      <c r="AE20" t="s">
        <v>2736</v>
      </c>
      <c r="AG20" t="s">
        <v>2736</v>
      </c>
      <c r="AH20" t="s">
        <v>1915</v>
      </c>
      <c r="AJ20" s="2">
        <v>44957</v>
      </c>
      <c r="AK20" s="2">
        <v>44957</v>
      </c>
      <c r="AL20" s="2">
        <v>44957</v>
      </c>
      <c r="AM20" s="2">
        <v>45022</v>
      </c>
      <c r="AN20" t="s">
        <v>1779</v>
      </c>
      <c r="AO20" t="s">
        <v>1778</v>
      </c>
      <c r="AP20" t="s">
        <v>2735</v>
      </c>
      <c r="AQ20" t="s">
        <v>20</v>
      </c>
      <c r="AR20" s="2">
        <v>44978</v>
      </c>
      <c r="AS20" s="2">
        <v>45281</v>
      </c>
      <c r="AT20" s="2">
        <v>45287</v>
      </c>
      <c r="AU20" t="s">
        <v>1776</v>
      </c>
      <c r="AV20" t="s">
        <v>2734</v>
      </c>
      <c r="AW20" s="2">
        <v>45382</v>
      </c>
      <c r="AX20" s="2">
        <v>45340</v>
      </c>
      <c r="AY20" s="2">
        <v>45355</v>
      </c>
      <c r="AZ20" t="s">
        <v>1764</v>
      </c>
      <c r="BA20" s="2">
        <v>45530</v>
      </c>
      <c r="BB20" s="2">
        <v>45530</v>
      </c>
      <c r="BD20" s="2">
        <v>45530</v>
      </c>
      <c r="BF20" t="s">
        <v>2733</v>
      </c>
    </row>
    <row r="21" spans="1:58" ht="112.5">
      <c r="B21">
        <v>22</v>
      </c>
      <c r="C21" s="1" t="s">
        <v>2732</v>
      </c>
      <c r="D21" t="s">
        <v>15</v>
      </c>
      <c r="E21" t="s">
        <v>102</v>
      </c>
      <c r="F21" t="s">
        <v>1785</v>
      </c>
      <c r="G21" s="1" t="s">
        <v>2731</v>
      </c>
      <c r="H21" t="s">
        <v>16</v>
      </c>
      <c r="J21" t="s">
        <v>103</v>
      </c>
      <c r="K21" t="s">
        <v>104</v>
      </c>
      <c r="M21" t="s">
        <v>105</v>
      </c>
      <c r="Q21" t="s">
        <v>2730</v>
      </c>
      <c r="T21" t="s">
        <v>20</v>
      </c>
      <c r="U21" t="s">
        <v>2729</v>
      </c>
      <c r="V21" t="s">
        <v>2728</v>
      </c>
      <c r="W21" t="s">
        <v>2727</v>
      </c>
      <c r="X21" t="s">
        <v>2726</v>
      </c>
      <c r="Z21" s="2">
        <v>44977</v>
      </c>
      <c r="AA21" s="2">
        <v>44963</v>
      </c>
      <c r="AB21" s="2">
        <v>45341</v>
      </c>
      <c r="AC21" t="s">
        <v>20</v>
      </c>
      <c r="AE21" t="s">
        <v>2725</v>
      </c>
      <c r="AG21" t="s">
        <v>2725</v>
      </c>
      <c r="AJ21" s="2">
        <v>44963</v>
      </c>
      <c r="AK21" s="2">
        <v>44963</v>
      </c>
      <c r="AL21" s="2">
        <v>44963</v>
      </c>
      <c r="AM21" s="2">
        <v>45022</v>
      </c>
      <c r="AN21" t="s">
        <v>1779</v>
      </c>
      <c r="AO21" t="s">
        <v>1778</v>
      </c>
      <c r="AP21" t="s">
        <v>2640</v>
      </c>
      <c r="AQ21" t="s">
        <v>20</v>
      </c>
      <c r="AR21" s="2">
        <v>44971</v>
      </c>
      <c r="AS21" s="2">
        <v>45267</v>
      </c>
      <c r="AT21" s="2">
        <v>45327</v>
      </c>
      <c r="AU21" t="s">
        <v>1776</v>
      </c>
      <c r="AV21" t="s">
        <v>2684</v>
      </c>
      <c r="AW21" s="2">
        <v>45382</v>
      </c>
      <c r="AX21" s="2">
        <v>45373</v>
      </c>
      <c r="AY21" s="2">
        <v>45378</v>
      </c>
      <c r="BE21" t="s">
        <v>2724</v>
      </c>
      <c r="BF21" t="s">
        <v>2723</v>
      </c>
    </row>
    <row r="22" spans="1:58" ht="125">
      <c r="A22">
        <v>35</v>
      </c>
      <c r="B22">
        <v>24</v>
      </c>
      <c r="C22" s="1" t="s">
        <v>2722</v>
      </c>
      <c r="D22" t="s">
        <v>22</v>
      </c>
      <c r="E22" t="s">
        <v>170</v>
      </c>
      <c r="F22" t="s">
        <v>1785</v>
      </c>
      <c r="G22" s="1" t="s">
        <v>2721</v>
      </c>
      <c r="H22" t="s">
        <v>16</v>
      </c>
      <c r="J22" t="s">
        <v>171</v>
      </c>
      <c r="K22" t="s">
        <v>172</v>
      </c>
      <c r="L22" t="s">
        <v>173</v>
      </c>
      <c r="M22" s="1" t="s">
        <v>174</v>
      </c>
      <c r="Q22" t="s">
        <v>2281</v>
      </c>
      <c r="S22" t="s">
        <v>1849</v>
      </c>
      <c r="T22" t="s">
        <v>20</v>
      </c>
      <c r="U22" t="s">
        <v>2718</v>
      </c>
      <c r="V22" t="s">
        <v>2720</v>
      </c>
      <c r="W22" t="s">
        <v>2648</v>
      </c>
      <c r="X22" s="3">
        <v>46057</v>
      </c>
      <c r="Y22" s="3">
        <v>46067</v>
      </c>
      <c r="Z22" s="2">
        <v>44966</v>
      </c>
      <c r="AA22" s="2">
        <v>44965</v>
      </c>
      <c r="AB22" s="2">
        <v>45330</v>
      </c>
      <c r="AC22" t="s">
        <v>20</v>
      </c>
      <c r="AE22" t="s">
        <v>2716</v>
      </c>
      <c r="AG22" t="s">
        <v>2716</v>
      </c>
      <c r="AJ22" s="2">
        <v>44964</v>
      </c>
      <c r="AK22" s="2">
        <v>44964</v>
      </c>
      <c r="AL22" s="2">
        <v>44964</v>
      </c>
      <c r="AM22" s="2">
        <v>45022</v>
      </c>
      <c r="AN22" t="s">
        <v>1779</v>
      </c>
      <c r="AO22" t="s">
        <v>2715</v>
      </c>
      <c r="AP22" t="s">
        <v>2640</v>
      </c>
      <c r="AQ22" t="s">
        <v>20</v>
      </c>
      <c r="AR22" s="2">
        <v>45013</v>
      </c>
      <c r="AS22" s="2">
        <v>45308</v>
      </c>
      <c r="AT22" s="2">
        <v>45313</v>
      </c>
      <c r="AU22" t="s">
        <v>1776</v>
      </c>
      <c r="AV22" t="s">
        <v>2363</v>
      </c>
      <c r="AW22" s="2">
        <v>45382</v>
      </c>
      <c r="AX22" s="2">
        <v>45337</v>
      </c>
      <c r="AY22" s="2">
        <v>45342</v>
      </c>
      <c r="BE22" t="s">
        <v>2338</v>
      </c>
    </row>
    <row r="23" spans="1:58" ht="137.5">
      <c r="B23">
        <v>25</v>
      </c>
      <c r="C23" t="s">
        <v>175</v>
      </c>
      <c r="D23" t="s">
        <v>176</v>
      </c>
      <c r="E23" t="s">
        <v>177</v>
      </c>
      <c r="F23" t="s">
        <v>1785</v>
      </c>
      <c r="G23" s="1" t="s">
        <v>2719</v>
      </c>
      <c r="H23" t="s">
        <v>16</v>
      </c>
      <c r="K23" t="s">
        <v>178</v>
      </c>
      <c r="M23" s="1" t="s">
        <v>179</v>
      </c>
      <c r="Q23" t="s">
        <v>2281</v>
      </c>
      <c r="S23" t="s">
        <v>1849</v>
      </c>
      <c r="T23" t="s">
        <v>20</v>
      </c>
      <c r="U23" t="s">
        <v>2718</v>
      </c>
      <c r="V23" t="s">
        <v>2717</v>
      </c>
      <c r="W23" t="s">
        <v>2648</v>
      </c>
      <c r="X23" s="3">
        <v>46122</v>
      </c>
      <c r="Z23" s="2">
        <v>44966</v>
      </c>
      <c r="AA23" s="2">
        <v>44965</v>
      </c>
      <c r="AB23" s="2">
        <v>45330</v>
      </c>
      <c r="AC23" t="s">
        <v>20</v>
      </c>
      <c r="AE23" t="s">
        <v>2716</v>
      </c>
      <c r="AG23" t="s">
        <v>2716</v>
      </c>
      <c r="AJ23" s="2">
        <v>44964</v>
      </c>
      <c r="AK23" s="2">
        <v>44964</v>
      </c>
      <c r="AL23" s="2">
        <v>44964</v>
      </c>
      <c r="AM23" s="2">
        <v>45022</v>
      </c>
      <c r="AN23" t="s">
        <v>1779</v>
      </c>
      <c r="AO23" t="s">
        <v>2715</v>
      </c>
      <c r="AP23" t="s">
        <v>2640</v>
      </c>
      <c r="AQ23" t="s">
        <v>20</v>
      </c>
      <c r="AR23" s="2">
        <v>45013</v>
      </c>
      <c r="AS23" s="2">
        <v>45342</v>
      </c>
      <c r="AT23" s="2">
        <v>45348</v>
      </c>
      <c r="AU23" t="s">
        <v>1776</v>
      </c>
      <c r="AV23" t="s">
        <v>2363</v>
      </c>
      <c r="AW23" s="2">
        <v>45382</v>
      </c>
      <c r="AX23" s="2">
        <v>45337</v>
      </c>
      <c r="AY23" s="2">
        <v>45342</v>
      </c>
      <c r="BE23" t="s">
        <v>2338</v>
      </c>
    </row>
    <row r="24" spans="1:58" ht="87.5">
      <c r="A24">
        <v>31</v>
      </c>
      <c r="B24">
        <v>26</v>
      </c>
      <c r="C24" s="1" t="s">
        <v>2714</v>
      </c>
      <c r="D24" t="s">
        <v>15</v>
      </c>
      <c r="E24" t="s">
        <v>158</v>
      </c>
      <c r="F24" t="s">
        <v>1785</v>
      </c>
      <c r="G24" s="1" t="s">
        <v>2713</v>
      </c>
      <c r="H24" t="s">
        <v>159</v>
      </c>
      <c r="J24" t="s">
        <v>160</v>
      </c>
      <c r="K24" t="s">
        <v>161</v>
      </c>
      <c r="L24" t="s">
        <v>162</v>
      </c>
      <c r="M24" s="1" t="s">
        <v>163</v>
      </c>
      <c r="Q24" t="s">
        <v>2281</v>
      </c>
      <c r="S24" t="s">
        <v>2235</v>
      </c>
      <c r="T24" t="s">
        <v>20</v>
      </c>
      <c r="U24" t="s">
        <v>2669</v>
      </c>
      <c r="V24" t="s">
        <v>2712</v>
      </c>
      <c r="W24" t="s">
        <v>2711</v>
      </c>
      <c r="X24" s="3">
        <v>46057</v>
      </c>
      <c r="Y24" s="3">
        <v>46067</v>
      </c>
      <c r="Z24" s="2">
        <v>44964</v>
      </c>
      <c r="AA24" s="2">
        <v>44966</v>
      </c>
      <c r="AB24" s="2">
        <v>45328</v>
      </c>
      <c r="AC24" t="s">
        <v>20</v>
      </c>
      <c r="AE24" t="s">
        <v>2705</v>
      </c>
      <c r="AG24" t="s">
        <v>2705</v>
      </c>
      <c r="AJ24" s="2">
        <v>44966</v>
      </c>
      <c r="AK24" s="2">
        <v>44966</v>
      </c>
      <c r="AL24" s="2">
        <v>44966</v>
      </c>
      <c r="AM24" s="2">
        <v>45022</v>
      </c>
      <c r="AN24" t="s">
        <v>1779</v>
      </c>
      <c r="AO24" t="s">
        <v>1778</v>
      </c>
      <c r="AP24" t="s">
        <v>2640</v>
      </c>
      <c r="AQ24" t="s">
        <v>20</v>
      </c>
      <c r="AR24" s="2">
        <v>44971</v>
      </c>
      <c r="AS24" s="2">
        <v>45267</v>
      </c>
      <c r="AT24" s="2">
        <v>45274</v>
      </c>
      <c r="AU24" t="s">
        <v>1776</v>
      </c>
      <c r="AV24" t="s">
        <v>2638</v>
      </c>
      <c r="AW24" s="2">
        <v>45382</v>
      </c>
      <c r="AX24" s="2">
        <v>45338</v>
      </c>
      <c r="AY24" s="2">
        <v>45355</v>
      </c>
      <c r="BF24" t="s">
        <v>2710</v>
      </c>
    </row>
    <row r="25" spans="1:58" ht="125">
      <c r="A25">
        <v>37</v>
      </c>
      <c r="B25">
        <v>27</v>
      </c>
      <c r="C25" s="1" t="s">
        <v>2709</v>
      </c>
      <c r="D25" t="s">
        <v>15</v>
      </c>
      <c r="E25" s="1" t="s">
        <v>181</v>
      </c>
      <c r="F25" t="s">
        <v>1785</v>
      </c>
      <c r="G25" s="1" t="s">
        <v>2708</v>
      </c>
      <c r="H25" t="s">
        <v>16</v>
      </c>
      <c r="J25" t="s">
        <v>182</v>
      </c>
      <c r="K25" t="s">
        <v>183</v>
      </c>
      <c r="L25" t="s">
        <v>184</v>
      </c>
      <c r="M25" s="1" t="s">
        <v>185</v>
      </c>
      <c r="Q25" t="s">
        <v>2281</v>
      </c>
      <c r="S25" t="s">
        <v>1849</v>
      </c>
      <c r="T25" t="s">
        <v>20</v>
      </c>
      <c r="U25" s="1" t="s">
        <v>2707</v>
      </c>
      <c r="V25" t="s">
        <v>2706</v>
      </c>
      <c r="W25" t="s">
        <v>2691</v>
      </c>
      <c r="X25" s="3">
        <v>46057</v>
      </c>
      <c r="Y25" s="3">
        <v>46067</v>
      </c>
      <c r="Z25" s="2">
        <v>44965</v>
      </c>
      <c r="AA25" s="2">
        <v>44966</v>
      </c>
      <c r="AB25" s="2">
        <v>45329</v>
      </c>
      <c r="AC25" t="s">
        <v>20</v>
      </c>
      <c r="AE25" t="s">
        <v>2705</v>
      </c>
      <c r="AG25" t="s">
        <v>2705</v>
      </c>
      <c r="AH25" t="s">
        <v>2704</v>
      </c>
      <c r="AJ25" s="2">
        <v>44966</v>
      </c>
      <c r="AK25" s="2">
        <v>44966</v>
      </c>
      <c r="AL25" s="2">
        <v>44966</v>
      </c>
      <c r="AM25" s="2">
        <v>45022</v>
      </c>
      <c r="AN25" t="s">
        <v>1779</v>
      </c>
      <c r="AO25" t="s">
        <v>1778</v>
      </c>
      <c r="AP25" t="s">
        <v>2640</v>
      </c>
      <c r="AQ25" t="s">
        <v>20</v>
      </c>
      <c r="AR25" s="2">
        <v>44970</v>
      </c>
      <c r="AS25" s="2">
        <v>45267</v>
      </c>
      <c r="AT25" s="2">
        <v>45285</v>
      </c>
      <c r="AU25" t="s">
        <v>2703</v>
      </c>
      <c r="AV25" t="s">
        <v>2638</v>
      </c>
      <c r="AW25" s="2">
        <v>45382</v>
      </c>
      <c r="AX25" s="2">
        <v>45338</v>
      </c>
      <c r="AY25" s="2">
        <v>45355</v>
      </c>
      <c r="AZ25" t="s">
        <v>1764</v>
      </c>
      <c r="BC25" s="2">
        <v>45329</v>
      </c>
      <c r="BF25" t="s">
        <v>2702</v>
      </c>
    </row>
    <row r="26" spans="1:58" ht="125">
      <c r="A26">
        <v>42</v>
      </c>
      <c r="B26">
        <v>28</v>
      </c>
      <c r="C26" s="1" t="s">
        <v>2701</v>
      </c>
      <c r="D26" t="s">
        <v>22</v>
      </c>
      <c r="E26" t="s">
        <v>215</v>
      </c>
      <c r="F26" t="s">
        <v>1785</v>
      </c>
      <c r="G26" s="1" t="s">
        <v>2700</v>
      </c>
      <c r="H26" t="s">
        <v>50</v>
      </c>
      <c r="J26" t="s">
        <v>216</v>
      </c>
      <c r="K26" t="s">
        <v>217</v>
      </c>
      <c r="L26" t="s">
        <v>218</v>
      </c>
      <c r="M26" t="s">
        <v>219</v>
      </c>
      <c r="Q26" t="s">
        <v>2661</v>
      </c>
      <c r="S26" t="s">
        <v>1849</v>
      </c>
      <c r="T26" t="s">
        <v>20</v>
      </c>
      <c r="U26" s="1" t="s">
        <v>2699</v>
      </c>
      <c r="W26" t="s">
        <v>2698</v>
      </c>
      <c r="X26" s="2">
        <v>45691</v>
      </c>
      <c r="Y26" s="2">
        <v>45702</v>
      </c>
      <c r="Z26" s="2">
        <v>44970</v>
      </c>
      <c r="AA26" s="2">
        <v>44972</v>
      </c>
      <c r="AB26" s="2">
        <v>45334</v>
      </c>
      <c r="AC26" t="s">
        <v>20</v>
      </c>
      <c r="AE26" t="s">
        <v>2697</v>
      </c>
      <c r="AG26" t="s">
        <v>2697</v>
      </c>
      <c r="AJ26" s="2">
        <v>44973</v>
      </c>
      <c r="AK26" s="2">
        <v>44973</v>
      </c>
      <c r="AL26" s="2">
        <v>44973</v>
      </c>
      <c r="AM26" s="2">
        <v>45022</v>
      </c>
      <c r="AN26" t="s">
        <v>1779</v>
      </c>
      <c r="AO26" t="s">
        <v>1778</v>
      </c>
      <c r="AP26" t="s">
        <v>2640</v>
      </c>
      <c r="AQ26" t="s">
        <v>20</v>
      </c>
      <c r="AR26" s="2">
        <v>44977</v>
      </c>
      <c r="AS26" s="2">
        <v>45259</v>
      </c>
      <c r="AT26" s="2">
        <v>45265</v>
      </c>
      <c r="AU26" t="s">
        <v>1776</v>
      </c>
      <c r="AV26" t="s">
        <v>2638</v>
      </c>
      <c r="AW26" s="2">
        <v>45382</v>
      </c>
      <c r="AX26" s="2">
        <v>45351</v>
      </c>
      <c r="AY26" s="2">
        <v>45355</v>
      </c>
      <c r="AZ26" t="s">
        <v>1764</v>
      </c>
      <c r="BF26" t="s">
        <v>2696</v>
      </c>
    </row>
    <row r="27" spans="1:58" ht="100">
      <c r="A27">
        <v>34</v>
      </c>
      <c r="B27">
        <v>29</v>
      </c>
      <c r="C27" s="1" t="s">
        <v>2695</v>
      </c>
      <c r="D27" t="s">
        <v>22</v>
      </c>
      <c r="E27" t="s">
        <v>165</v>
      </c>
      <c r="F27" t="s">
        <v>1785</v>
      </c>
      <c r="G27" s="1" t="s">
        <v>2694</v>
      </c>
      <c r="H27" t="s">
        <v>50</v>
      </c>
      <c r="J27" t="s">
        <v>166</v>
      </c>
      <c r="K27" t="s">
        <v>167</v>
      </c>
      <c r="L27" t="s">
        <v>168</v>
      </c>
      <c r="M27" t="s">
        <v>169</v>
      </c>
      <c r="Q27" t="s">
        <v>2281</v>
      </c>
      <c r="S27" t="s">
        <v>1849</v>
      </c>
      <c r="T27" t="s">
        <v>20</v>
      </c>
      <c r="U27" t="s">
        <v>2693</v>
      </c>
      <c r="V27" t="s">
        <v>2692</v>
      </c>
      <c r="W27" t="s">
        <v>2691</v>
      </c>
      <c r="X27" s="3">
        <v>46057</v>
      </c>
      <c r="Z27" s="2">
        <v>45017</v>
      </c>
      <c r="AA27" s="2">
        <v>44967</v>
      </c>
      <c r="AB27" s="2">
        <v>45382</v>
      </c>
      <c r="AC27" t="s">
        <v>20</v>
      </c>
      <c r="AE27" t="s">
        <v>2690</v>
      </c>
      <c r="AG27" t="s">
        <v>2690</v>
      </c>
      <c r="AJ27" s="2">
        <v>44973</v>
      </c>
      <c r="AK27" s="2">
        <v>44973</v>
      </c>
      <c r="AL27" s="2">
        <v>44973</v>
      </c>
      <c r="AM27" s="2">
        <v>45022</v>
      </c>
      <c r="AN27" t="s">
        <v>1779</v>
      </c>
      <c r="AO27" t="s">
        <v>1778</v>
      </c>
      <c r="AP27" t="s">
        <v>2640</v>
      </c>
      <c r="AQ27" t="s">
        <v>20</v>
      </c>
      <c r="AR27" s="2">
        <v>44977</v>
      </c>
      <c r="AS27" s="2">
        <v>45330</v>
      </c>
      <c r="AT27" s="2">
        <v>45337</v>
      </c>
      <c r="AU27" t="s">
        <v>2664</v>
      </c>
      <c r="AV27" t="s">
        <v>1775</v>
      </c>
      <c r="AW27" s="2">
        <v>45443</v>
      </c>
      <c r="AX27" s="2">
        <v>45390</v>
      </c>
      <c r="AY27" s="2">
        <v>45390</v>
      </c>
      <c r="AZ27" t="s">
        <v>1764</v>
      </c>
      <c r="BF27" t="s">
        <v>1763</v>
      </c>
    </row>
    <row r="28" spans="1:58" ht="125">
      <c r="A28">
        <v>40</v>
      </c>
      <c r="B28">
        <v>30</v>
      </c>
      <c r="C28" s="1" t="s">
        <v>2689</v>
      </c>
      <c r="D28" t="s">
        <v>22</v>
      </c>
      <c r="E28" t="s">
        <v>202</v>
      </c>
      <c r="F28" t="s">
        <v>1785</v>
      </c>
      <c r="G28" s="1" t="s">
        <v>2688</v>
      </c>
      <c r="H28" t="s">
        <v>203</v>
      </c>
      <c r="J28" t="s">
        <v>204</v>
      </c>
      <c r="K28" t="s">
        <v>205</v>
      </c>
      <c r="L28" t="s">
        <v>206</v>
      </c>
      <c r="M28" s="1" t="s">
        <v>207</v>
      </c>
      <c r="Q28" t="s">
        <v>2687</v>
      </c>
      <c r="S28" t="s">
        <v>1849</v>
      </c>
      <c r="T28" t="s">
        <v>20</v>
      </c>
      <c r="U28" s="1" t="s">
        <v>2686</v>
      </c>
      <c r="V28" t="s">
        <v>2685</v>
      </c>
      <c r="W28" t="s">
        <v>2667</v>
      </c>
      <c r="X28" s="3">
        <v>46066</v>
      </c>
      <c r="Y28" s="3">
        <v>46067</v>
      </c>
      <c r="Z28" s="2">
        <v>44978</v>
      </c>
      <c r="AA28" s="2">
        <v>44979</v>
      </c>
      <c r="AB28" s="2">
        <v>45342</v>
      </c>
      <c r="AC28" t="s">
        <v>20</v>
      </c>
      <c r="AE28" t="s">
        <v>2672</v>
      </c>
      <c r="AG28" t="s">
        <v>2672</v>
      </c>
      <c r="AJ28" s="2">
        <v>44980</v>
      </c>
      <c r="AK28" s="2">
        <v>44980</v>
      </c>
      <c r="AL28" s="2">
        <v>44980</v>
      </c>
      <c r="AM28" s="2">
        <v>45022</v>
      </c>
      <c r="AN28" t="s">
        <v>1779</v>
      </c>
      <c r="AO28" t="s">
        <v>1778</v>
      </c>
      <c r="AP28" t="s">
        <v>2640</v>
      </c>
      <c r="AQ28" t="s">
        <v>20</v>
      </c>
      <c r="AR28" s="2">
        <v>44985</v>
      </c>
      <c r="AS28" s="2">
        <v>45342</v>
      </c>
      <c r="AT28" s="2">
        <v>45349</v>
      </c>
      <c r="AU28" t="s">
        <v>1776</v>
      </c>
      <c r="AV28" t="s">
        <v>2684</v>
      </c>
      <c r="AW28" s="2">
        <v>45382</v>
      </c>
      <c r="AX28" s="2">
        <v>45379</v>
      </c>
      <c r="AY28" s="2">
        <v>45384</v>
      </c>
      <c r="AZ28" t="s">
        <v>1764</v>
      </c>
      <c r="BF28" t="s">
        <v>1763</v>
      </c>
    </row>
    <row r="29" spans="1:58" ht="87.5">
      <c r="A29">
        <v>39</v>
      </c>
      <c r="B29">
        <v>31</v>
      </c>
      <c r="C29" s="1" t="s">
        <v>2683</v>
      </c>
      <c r="D29" t="s">
        <v>187</v>
      </c>
      <c r="E29" s="1" t="s">
        <v>188</v>
      </c>
      <c r="F29" t="s">
        <v>1785</v>
      </c>
      <c r="G29" s="1" t="s">
        <v>2682</v>
      </c>
      <c r="H29" t="s">
        <v>189</v>
      </c>
      <c r="J29" t="s">
        <v>190</v>
      </c>
      <c r="K29" t="s">
        <v>191</v>
      </c>
      <c r="L29" t="s">
        <v>192</v>
      </c>
      <c r="M29" t="s">
        <v>193</v>
      </c>
      <c r="Q29" t="s">
        <v>2281</v>
      </c>
      <c r="S29" t="s">
        <v>1849</v>
      </c>
      <c r="T29" t="s">
        <v>20</v>
      </c>
      <c r="U29" t="s">
        <v>2681</v>
      </c>
      <c r="V29" t="s">
        <v>2680</v>
      </c>
      <c r="W29" t="s">
        <v>2679</v>
      </c>
      <c r="X29" s="3">
        <v>46079</v>
      </c>
      <c r="Z29" s="2">
        <v>44986</v>
      </c>
      <c r="AA29" s="2">
        <v>44979</v>
      </c>
      <c r="AB29" s="2">
        <v>45351</v>
      </c>
      <c r="AC29" t="s">
        <v>20</v>
      </c>
      <c r="AE29" t="s">
        <v>2672</v>
      </c>
      <c r="AG29" t="s">
        <v>2672</v>
      </c>
      <c r="AJ29" s="2">
        <v>44980</v>
      </c>
      <c r="AK29" s="2">
        <v>44980</v>
      </c>
      <c r="AL29" s="2">
        <v>44980</v>
      </c>
      <c r="AM29" s="2">
        <v>45022</v>
      </c>
      <c r="AN29" t="s">
        <v>1779</v>
      </c>
      <c r="AO29" t="s">
        <v>1778</v>
      </c>
      <c r="AP29" t="s">
        <v>2640</v>
      </c>
      <c r="AQ29" t="s">
        <v>20</v>
      </c>
      <c r="AR29" s="2">
        <v>44985</v>
      </c>
      <c r="AS29" s="2">
        <v>45355</v>
      </c>
      <c r="AT29" s="2">
        <v>45362</v>
      </c>
      <c r="AU29" t="s">
        <v>1776</v>
      </c>
      <c r="AV29" t="s">
        <v>2678</v>
      </c>
      <c r="AW29" s="2">
        <v>45412</v>
      </c>
      <c r="AX29" s="2">
        <v>45380</v>
      </c>
      <c r="AY29" s="2">
        <v>45384</v>
      </c>
      <c r="BF29" t="s">
        <v>1763</v>
      </c>
    </row>
    <row r="30" spans="1:58" ht="75">
      <c r="A30">
        <v>21</v>
      </c>
      <c r="B30">
        <v>32</v>
      </c>
      <c r="C30" s="1" t="s">
        <v>2677</v>
      </c>
      <c r="D30" t="s">
        <v>22</v>
      </c>
      <c r="E30" t="s">
        <v>113</v>
      </c>
      <c r="F30" t="s">
        <v>1785</v>
      </c>
      <c r="G30" s="1" t="s">
        <v>2676</v>
      </c>
      <c r="H30" t="s">
        <v>114</v>
      </c>
      <c r="J30" t="s">
        <v>115</v>
      </c>
      <c r="K30" t="s">
        <v>116</v>
      </c>
      <c r="L30" t="s">
        <v>117</v>
      </c>
      <c r="M30" s="1" t="s">
        <v>118</v>
      </c>
      <c r="Q30" t="s">
        <v>2634</v>
      </c>
      <c r="S30" s="1" t="s">
        <v>2675</v>
      </c>
      <c r="T30" t="s">
        <v>20</v>
      </c>
      <c r="U30" t="s">
        <v>2674</v>
      </c>
      <c r="V30" t="s">
        <v>2673</v>
      </c>
      <c r="W30" t="s">
        <v>2642</v>
      </c>
      <c r="X30" s="3">
        <v>46074</v>
      </c>
      <c r="Y30" s="3">
        <v>46081</v>
      </c>
      <c r="Z30" s="2">
        <v>44974</v>
      </c>
      <c r="AA30" s="2">
        <v>44979</v>
      </c>
      <c r="AB30" s="2">
        <v>45338</v>
      </c>
      <c r="AC30" t="s">
        <v>20</v>
      </c>
      <c r="AE30" t="s">
        <v>2672</v>
      </c>
      <c r="AG30" t="s">
        <v>2672</v>
      </c>
      <c r="AJ30" s="2">
        <v>44615</v>
      </c>
      <c r="AK30" s="2">
        <v>44615</v>
      </c>
      <c r="AL30" s="2">
        <v>44615</v>
      </c>
      <c r="AM30" s="2">
        <v>45022</v>
      </c>
      <c r="AN30" t="s">
        <v>1779</v>
      </c>
      <c r="AO30" t="s">
        <v>1778</v>
      </c>
      <c r="AP30" t="s">
        <v>2640</v>
      </c>
      <c r="AQ30" t="s">
        <v>20</v>
      </c>
      <c r="AR30" s="2">
        <v>45027</v>
      </c>
      <c r="AS30" s="2">
        <v>45342</v>
      </c>
      <c r="AT30" s="2">
        <v>45352</v>
      </c>
      <c r="AU30" t="s">
        <v>1776</v>
      </c>
      <c r="AV30" t="s">
        <v>2354</v>
      </c>
      <c r="AW30" s="2">
        <v>45382</v>
      </c>
      <c r="AX30" s="2">
        <v>45384</v>
      </c>
      <c r="AY30" s="2">
        <v>45390</v>
      </c>
      <c r="BF30" t="s">
        <v>1763</v>
      </c>
    </row>
    <row r="31" spans="1:58" ht="225">
      <c r="B31">
        <v>33</v>
      </c>
      <c r="C31" s="1" t="s">
        <v>2671</v>
      </c>
      <c r="D31" t="s">
        <v>195</v>
      </c>
      <c r="E31" t="s">
        <v>196</v>
      </c>
      <c r="F31" t="s">
        <v>1785</v>
      </c>
      <c r="G31" s="1" t="s">
        <v>2670</v>
      </c>
      <c r="H31" t="s">
        <v>197</v>
      </c>
      <c r="J31" t="s">
        <v>198</v>
      </c>
      <c r="K31" t="s">
        <v>199</v>
      </c>
      <c r="M31" s="1" t="s">
        <v>200</v>
      </c>
      <c r="Q31" t="s">
        <v>2515</v>
      </c>
      <c r="T31" t="s">
        <v>20</v>
      </c>
      <c r="U31" t="s">
        <v>2669</v>
      </c>
      <c r="V31" t="s">
        <v>2668</v>
      </c>
      <c r="W31" t="s">
        <v>2667</v>
      </c>
      <c r="X31" s="3">
        <v>46066</v>
      </c>
      <c r="Z31" s="2">
        <v>45017</v>
      </c>
      <c r="AA31" s="2">
        <v>44984</v>
      </c>
      <c r="AB31" s="2">
        <v>45382</v>
      </c>
      <c r="AC31" t="s">
        <v>20</v>
      </c>
      <c r="AE31" t="s">
        <v>2657</v>
      </c>
      <c r="AG31" t="s">
        <v>2657</v>
      </c>
      <c r="AH31" s="1" t="s">
        <v>2666</v>
      </c>
      <c r="AI31" s="1" t="s">
        <v>2665</v>
      </c>
      <c r="AJ31" s="2">
        <v>44991</v>
      </c>
      <c r="AK31" s="2">
        <v>44991</v>
      </c>
      <c r="AL31" s="2">
        <v>44991</v>
      </c>
      <c r="AM31" s="2">
        <v>45022</v>
      </c>
      <c r="AN31" t="s">
        <v>1779</v>
      </c>
      <c r="AO31" t="s">
        <v>1778</v>
      </c>
      <c r="AP31" t="s">
        <v>2640</v>
      </c>
      <c r="AQ31" t="s">
        <v>20</v>
      </c>
      <c r="AR31" s="2">
        <v>45009</v>
      </c>
      <c r="AS31" s="2">
        <v>45321</v>
      </c>
      <c r="AT31" s="2">
        <v>45328</v>
      </c>
      <c r="AU31" t="s">
        <v>2664</v>
      </c>
      <c r="AV31" t="s">
        <v>1775</v>
      </c>
      <c r="AW31" s="2">
        <v>45443</v>
      </c>
      <c r="AX31" s="2">
        <v>45447</v>
      </c>
      <c r="AY31" s="2">
        <v>45447</v>
      </c>
      <c r="AZ31" t="s">
        <v>1764</v>
      </c>
      <c r="BF31" t="s">
        <v>1763</v>
      </c>
    </row>
    <row r="32" spans="1:58" ht="87.5">
      <c r="A32">
        <v>41</v>
      </c>
      <c r="B32">
        <v>34</v>
      </c>
      <c r="C32" s="1" t="s">
        <v>2663</v>
      </c>
      <c r="D32" t="s">
        <v>22</v>
      </c>
      <c r="E32" t="s">
        <v>209</v>
      </c>
      <c r="F32" t="s">
        <v>1785</v>
      </c>
      <c r="G32" s="1" t="s">
        <v>2662</v>
      </c>
      <c r="H32" t="s">
        <v>121</v>
      </c>
      <c r="J32" t="s">
        <v>210</v>
      </c>
      <c r="K32" t="s">
        <v>211</v>
      </c>
      <c r="L32" t="s">
        <v>212</v>
      </c>
      <c r="M32" t="s">
        <v>213</v>
      </c>
      <c r="Q32" t="s">
        <v>2661</v>
      </c>
      <c r="S32" t="s">
        <v>1849</v>
      </c>
      <c r="T32" t="s">
        <v>20</v>
      </c>
      <c r="U32" t="s">
        <v>2660</v>
      </c>
      <c r="V32" t="s">
        <v>2659</v>
      </c>
      <c r="W32" t="s">
        <v>2658</v>
      </c>
      <c r="X32" s="3">
        <v>46066</v>
      </c>
      <c r="Y32" s="3">
        <v>46067</v>
      </c>
      <c r="Z32" s="2">
        <v>44984</v>
      </c>
      <c r="AA32" s="2">
        <v>44991</v>
      </c>
      <c r="AB32" s="2">
        <v>45348</v>
      </c>
      <c r="AC32" t="s">
        <v>20</v>
      </c>
      <c r="AE32" t="s">
        <v>2657</v>
      </c>
      <c r="AG32" t="s">
        <v>2657</v>
      </c>
      <c r="AJ32" s="2">
        <v>44991</v>
      </c>
      <c r="AK32" s="2">
        <v>44991</v>
      </c>
      <c r="AL32" s="2">
        <v>44991</v>
      </c>
      <c r="AM32" s="2">
        <v>45022</v>
      </c>
      <c r="AN32" t="s">
        <v>1779</v>
      </c>
      <c r="AO32" t="s">
        <v>1778</v>
      </c>
      <c r="AP32" t="s">
        <v>2640</v>
      </c>
      <c r="AQ32" t="s">
        <v>20</v>
      </c>
      <c r="AR32" s="2">
        <v>44998</v>
      </c>
      <c r="AS32" s="2">
        <v>45267</v>
      </c>
      <c r="AT32" s="2">
        <v>45280</v>
      </c>
      <c r="AU32" t="s">
        <v>1776</v>
      </c>
      <c r="AV32" t="s">
        <v>2656</v>
      </c>
      <c r="AW32" s="2">
        <v>45412</v>
      </c>
      <c r="AX32" s="2">
        <v>45420</v>
      </c>
      <c r="AY32" s="2">
        <v>45421</v>
      </c>
      <c r="AZ32" t="s">
        <v>1764</v>
      </c>
      <c r="BF32" t="s">
        <v>1763</v>
      </c>
    </row>
    <row r="33" spans="1:58" ht="125">
      <c r="A33">
        <v>24</v>
      </c>
      <c r="B33">
        <v>35</v>
      </c>
      <c r="C33" s="1" t="s">
        <v>2655</v>
      </c>
      <c r="D33" t="s">
        <v>22</v>
      </c>
      <c r="E33" s="1" t="s">
        <v>146</v>
      </c>
      <c r="F33" s="1" t="s">
        <v>2654</v>
      </c>
      <c r="G33" s="1" t="s">
        <v>2653</v>
      </c>
      <c r="H33" t="s">
        <v>44</v>
      </c>
      <c r="J33" t="s">
        <v>147</v>
      </c>
      <c r="K33" t="s">
        <v>148</v>
      </c>
      <c r="M33" t="s">
        <v>149</v>
      </c>
      <c r="Q33" t="s">
        <v>2652</v>
      </c>
      <c r="S33" s="1" t="s">
        <v>2651</v>
      </c>
      <c r="T33" t="s">
        <v>20</v>
      </c>
      <c r="U33" s="1" t="s">
        <v>2650</v>
      </c>
      <c r="V33" t="s">
        <v>2649</v>
      </c>
      <c r="W33" t="s">
        <v>2648</v>
      </c>
      <c r="X33" s="2">
        <v>45688</v>
      </c>
      <c r="Y33" s="2">
        <v>45702</v>
      </c>
      <c r="Z33" s="2">
        <v>44966</v>
      </c>
      <c r="AA33" s="2">
        <v>44967</v>
      </c>
      <c r="AB33" s="2">
        <v>45330</v>
      </c>
      <c r="AC33" t="s">
        <v>20</v>
      </c>
      <c r="AE33" t="s">
        <v>2641</v>
      </c>
      <c r="AG33" t="s">
        <v>2641</v>
      </c>
      <c r="AJ33" s="2">
        <v>44970</v>
      </c>
      <c r="AK33" s="2">
        <v>44970</v>
      </c>
      <c r="AL33" s="2">
        <v>44970</v>
      </c>
      <c r="AM33" s="2">
        <v>45022</v>
      </c>
      <c r="AN33" t="s">
        <v>1779</v>
      </c>
      <c r="AO33" t="s">
        <v>1778</v>
      </c>
      <c r="AP33" t="s">
        <v>2640</v>
      </c>
      <c r="AQ33" t="s">
        <v>20</v>
      </c>
      <c r="AR33" s="2">
        <v>44974</v>
      </c>
      <c r="AS33" s="2">
        <v>45308</v>
      </c>
      <c r="AT33" s="2">
        <v>45320</v>
      </c>
      <c r="AU33" t="s">
        <v>1776</v>
      </c>
      <c r="AV33" t="s">
        <v>2363</v>
      </c>
      <c r="AW33" s="2">
        <v>45382</v>
      </c>
      <c r="AX33" s="2">
        <v>45369</v>
      </c>
      <c r="AY33" s="2">
        <v>45373</v>
      </c>
      <c r="BF33" t="s">
        <v>1763</v>
      </c>
    </row>
    <row r="34" spans="1:58" ht="137.5">
      <c r="B34">
        <v>36</v>
      </c>
      <c r="C34" s="1" t="s">
        <v>2647</v>
      </c>
      <c r="D34" t="s">
        <v>22</v>
      </c>
      <c r="E34" s="1" t="s">
        <v>134</v>
      </c>
      <c r="F34" t="s">
        <v>1785</v>
      </c>
      <c r="G34" s="1" t="s">
        <v>2646</v>
      </c>
      <c r="H34" t="s">
        <v>16</v>
      </c>
      <c r="J34" t="s">
        <v>135</v>
      </c>
      <c r="K34" t="s">
        <v>136</v>
      </c>
      <c r="L34" t="s">
        <v>137</v>
      </c>
      <c r="M34" s="1" t="s">
        <v>138</v>
      </c>
      <c r="Q34" t="s">
        <v>2645</v>
      </c>
      <c r="T34" t="s">
        <v>20</v>
      </c>
      <c r="U34" t="s">
        <v>2644</v>
      </c>
      <c r="V34" t="s">
        <v>2643</v>
      </c>
      <c r="W34" t="s">
        <v>2642</v>
      </c>
      <c r="X34" s="3">
        <v>46059</v>
      </c>
      <c r="Y34" s="3">
        <v>46067</v>
      </c>
      <c r="Z34" s="2">
        <v>44966</v>
      </c>
      <c r="AA34" s="2">
        <v>44967</v>
      </c>
      <c r="AB34" s="2">
        <v>45330</v>
      </c>
      <c r="AC34" t="s">
        <v>20</v>
      </c>
      <c r="AE34" t="s">
        <v>2641</v>
      </c>
      <c r="AG34" t="s">
        <v>2641</v>
      </c>
      <c r="AJ34" s="2">
        <v>44970</v>
      </c>
      <c r="AK34" s="2">
        <v>44970</v>
      </c>
      <c r="AL34" s="2">
        <v>44970</v>
      </c>
      <c r="AM34" s="2">
        <v>45022</v>
      </c>
      <c r="AN34" t="s">
        <v>1779</v>
      </c>
      <c r="AO34" t="s">
        <v>1778</v>
      </c>
      <c r="AP34" t="s">
        <v>2640</v>
      </c>
      <c r="AQ34" t="s">
        <v>20</v>
      </c>
      <c r="AR34" s="2">
        <v>44971</v>
      </c>
      <c r="AS34" s="2">
        <v>45267</v>
      </c>
      <c r="AT34" s="2">
        <v>45272</v>
      </c>
      <c r="AU34" t="s">
        <v>2639</v>
      </c>
      <c r="AV34" t="s">
        <v>2638</v>
      </c>
      <c r="AW34" s="2">
        <v>45382</v>
      </c>
      <c r="AX34" s="2">
        <v>45342</v>
      </c>
      <c r="AY34" s="2">
        <v>45355</v>
      </c>
      <c r="AZ34" t="s">
        <v>1764</v>
      </c>
      <c r="BF34" t="s">
        <v>2637</v>
      </c>
    </row>
    <row r="35" spans="1:58" ht="175">
      <c r="A35">
        <v>19</v>
      </c>
      <c r="B35">
        <v>37</v>
      </c>
      <c r="C35" s="1" t="s">
        <v>2636</v>
      </c>
      <c r="D35" t="s">
        <v>15</v>
      </c>
      <c r="E35" t="s">
        <v>107</v>
      </c>
      <c r="F35" t="s">
        <v>1785</v>
      </c>
      <c r="G35" s="1" t="s">
        <v>2635</v>
      </c>
      <c r="H35" t="s">
        <v>16</v>
      </c>
      <c r="J35" t="s">
        <v>108</v>
      </c>
      <c r="K35" t="s">
        <v>109</v>
      </c>
      <c r="L35" t="s">
        <v>110</v>
      </c>
      <c r="M35" t="s">
        <v>111</v>
      </c>
      <c r="Q35" t="s">
        <v>2634</v>
      </c>
      <c r="S35" t="s">
        <v>1849</v>
      </c>
      <c r="T35" t="s">
        <v>20</v>
      </c>
      <c r="U35" t="s">
        <v>2633</v>
      </c>
      <c r="V35" s="1" t="s">
        <v>2632</v>
      </c>
      <c r="W35" t="s">
        <v>2631</v>
      </c>
      <c r="X35" s="2">
        <v>45691</v>
      </c>
      <c r="Z35" s="2">
        <v>45017</v>
      </c>
      <c r="AA35" s="2">
        <v>44999</v>
      </c>
      <c r="AB35" s="2">
        <v>45382</v>
      </c>
      <c r="AC35" t="s">
        <v>20</v>
      </c>
      <c r="AE35" t="s">
        <v>2630</v>
      </c>
      <c r="AG35" t="s">
        <v>2630</v>
      </c>
      <c r="AJ35" s="2">
        <v>44999</v>
      </c>
      <c r="AK35" s="2">
        <v>44999</v>
      </c>
      <c r="AL35" s="2">
        <v>44999</v>
      </c>
      <c r="AM35" s="2">
        <v>45022</v>
      </c>
      <c r="AN35" t="s">
        <v>1779</v>
      </c>
      <c r="AO35" t="s">
        <v>1778</v>
      </c>
      <c r="AP35" t="s">
        <v>2613</v>
      </c>
      <c r="AQ35" t="s">
        <v>20</v>
      </c>
      <c r="AR35" s="2">
        <v>45009</v>
      </c>
      <c r="AS35" s="2">
        <v>45321</v>
      </c>
      <c r="AT35" s="2">
        <v>45328</v>
      </c>
      <c r="AU35" t="s">
        <v>1776</v>
      </c>
      <c r="AV35" t="s">
        <v>1775</v>
      </c>
      <c r="AW35" s="2">
        <v>45443</v>
      </c>
      <c r="AX35" s="2">
        <v>45387</v>
      </c>
      <c r="AY35" s="2">
        <v>45390</v>
      </c>
      <c r="AZ35" t="s">
        <v>1764</v>
      </c>
      <c r="BF35" t="s">
        <v>2629</v>
      </c>
    </row>
    <row r="36" spans="1:58" ht="125">
      <c r="A36">
        <v>13</v>
      </c>
      <c r="B36">
        <v>38</v>
      </c>
      <c r="C36" s="1" t="s">
        <v>2628</v>
      </c>
      <c r="D36" t="s">
        <v>22</v>
      </c>
      <c r="E36" t="s">
        <v>239</v>
      </c>
      <c r="F36" t="s">
        <v>1785</v>
      </c>
      <c r="G36" s="1" t="s">
        <v>2627</v>
      </c>
      <c r="H36" t="s">
        <v>240</v>
      </c>
      <c r="J36" t="s">
        <v>241</v>
      </c>
      <c r="K36" t="s">
        <v>242</v>
      </c>
      <c r="M36" s="1" t="s">
        <v>243</v>
      </c>
      <c r="Q36" t="s">
        <v>2626</v>
      </c>
      <c r="R36" t="s">
        <v>2625</v>
      </c>
      <c r="S36" t="s">
        <v>1800</v>
      </c>
      <c r="T36" t="s">
        <v>20</v>
      </c>
      <c r="V36" t="s">
        <v>2624</v>
      </c>
      <c r="W36" t="s">
        <v>2615</v>
      </c>
      <c r="X36" s="3">
        <v>46057</v>
      </c>
      <c r="Z36" s="2">
        <v>45017</v>
      </c>
      <c r="AA36" s="2">
        <v>45005</v>
      </c>
      <c r="AB36" s="2">
        <v>45382</v>
      </c>
      <c r="AC36" t="s">
        <v>20</v>
      </c>
      <c r="AE36" t="s">
        <v>2614</v>
      </c>
      <c r="AG36" t="s">
        <v>2614</v>
      </c>
      <c r="AJ36" s="2">
        <v>45005</v>
      </c>
      <c r="AK36" s="2">
        <v>45005</v>
      </c>
      <c r="AL36" s="2">
        <v>45005</v>
      </c>
      <c r="AM36" s="2">
        <v>45022</v>
      </c>
      <c r="AN36" t="s">
        <v>1779</v>
      </c>
      <c r="AO36" t="s">
        <v>2266</v>
      </c>
      <c r="AP36" t="s">
        <v>2613</v>
      </c>
      <c r="AQ36" t="s">
        <v>20</v>
      </c>
      <c r="AR36" s="2">
        <v>45009</v>
      </c>
      <c r="AS36" t="s">
        <v>20</v>
      </c>
      <c r="AU36" t="s">
        <v>1776</v>
      </c>
      <c r="AV36" t="s">
        <v>2605</v>
      </c>
      <c r="AW36" s="2">
        <v>45443</v>
      </c>
      <c r="AX36" s="2">
        <v>45442</v>
      </c>
      <c r="AY36" s="2">
        <v>45447</v>
      </c>
      <c r="BF36" t="s">
        <v>1763</v>
      </c>
    </row>
    <row r="37" spans="1:58" ht="125">
      <c r="A37">
        <v>44</v>
      </c>
      <c r="B37">
        <v>39</v>
      </c>
      <c r="C37" s="1" t="s">
        <v>2623</v>
      </c>
      <c r="D37" t="s">
        <v>15</v>
      </c>
      <c r="E37" t="s">
        <v>286</v>
      </c>
      <c r="F37" t="s">
        <v>1785</v>
      </c>
      <c r="G37" s="1" t="s">
        <v>2622</v>
      </c>
      <c r="H37" t="s">
        <v>16</v>
      </c>
      <c r="J37" t="s">
        <v>287</v>
      </c>
      <c r="K37" t="s">
        <v>288</v>
      </c>
      <c r="L37" t="s">
        <v>289</v>
      </c>
      <c r="M37" s="1" t="s">
        <v>290</v>
      </c>
      <c r="S37" t="s">
        <v>1849</v>
      </c>
      <c r="T37" t="s">
        <v>20</v>
      </c>
      <c r="V37" t="s">
        <v>2621</v>
      </c>
      <c r="W37" t="s">
        <v>1782</v>
      </c>
      <c r="X37" s="3">
        <v>46057</v>
      </c>
      <c r="Z37" s="2">
        <v>45017</v>
      </c>
      <c r="AA37" s="2">
        <v>45019</v>
      </c>
      <c r="AB37" s="2">
        <v>45382</v>
      </c>
      <c r="AC37" t="s">
        <v>20</v>
      </c>
      <c r="AE37" t="s">
        <v>2606</v>
      </c>
      <c r="AG37" t="s">
        <v>2606</v>
      </c>
      <c r="AJ37" s="2">
        <v>45019</v>
      </c>
      <c r="AK37" s="2">
        <v>45019</v>
      </c>
      <c r="AL37" s="2">
        <v>45019</v>
      </c>
      <c r="AM37" s="2">
        <v>45019</v>
      </c>
      <c r="AN37" t="s">
        <v>1779</v>
      </c>
      <c r="AO37" t="s">
        <v>2285</v>
      </c>
      <c r="AP37" t="s">
        <v>1777</v>
      </c>
      <c r="AQ37" t="s">
        <v>20</v>
      </c>
      <c r="AR37" s="2">
        <v>45020</v>
      </c>
      <c r="AS37" t="s">
        <v>20</v>
      </c>
      <c r="AU37" t="s">
        <v>2620</v>
      </c>
      <c r="AV37" t="s">
        <v>2605</v>
      </c>
      <c r="AW37" s="2">
        <v>45443</v>
      </c>
      <c r="AX37" s="2">
        <v>45398</v>
      </c>
      <c r="AY37" s="2">
        <v>45405</v>
      </c>
      <c r="AZ37" t="s">
        <v>1764</v>
      </c>
      <c r="BF37" t="s">
        <v>2619</v>
      </c>
    </row>
    <row r="38" spans="1:58" ht="125">
      <c r="A38">
        <v>38</v>
      </c>
      <c r="B38">
        <v>40</v>
      </c>
      <c r="C38" s="1" t="s">
        <v>2618</v>
      </c>
      <c r="D38" t="s">
        <v>15</v>
      </c>
      <c r="E38" t="s">
        <v>264</v>
      </c>
      <c r="F38" t="s">
        <v>1785</v>
      </c>
      <c r="G38" s="1" t="s">
        <v>2617</v>
      </c>
      <c r="H38" t="s">
        <v>247</v>
      </c>
      <c r="J38" t="s">
        <v>265</v>
      </c>
      <c r="K38" t="s">
        <v>266</v>
      </c>
      <c r="L38" t="s">
        <v>267</v>
      </c>
      <c r="M38" t="s">
        <v>268</v>
      </c>
      <c r="Q38" t="s">
        <v>2281</v>
      </c>
      <c r="R38" t="s">
        <v>2514</v>
      </c>
      <c r="S38" t="s">
        <v>2235</v>
      </c>
      <c r="T38" t="s">
        <v>20</v>
      </c>
      <c r="V38" t="s">
        <v>2616</v>
      </c>
      <c r="W38" t="s">
        <v>2615</v>
      </c>
      <c r="X38" s="3">
        <v>46154</v>
      </c>
      <c r="Z38" s="2">
        <v>45017</v>
      </c>
      <c r="AA38" s="2">
        <v>45005</v>
      </c>
      <c r="AB38" s="2">
        <v>45382</v>
      </c>
      <c r="AC38" t="s">
        <v>20</v>
      </c>
      <c r="AE38" t="s">
        <v>2614</v>
      </c>
      <c r="AG38" t="s">
        <v>2614</v>
      </c>
      <c r="AJ38" s="2">
        <v>45005</v>
      </c>
      <c r="AK38" s="2">
        <v>45005</v>
      </c>
      <c r="AL38" s="2">
        <v>45005</v>
      </c>
      <c r="AM38" s="2">
        <v>45022</v>
      </c>
      <c r="AN38" t="s">
        <v>1779</v>
      </c>
      <c r="AO38" t="s">
        <v>2285</v>
      </c>
      <c r="AP38" t="s">
        <v>2613</v>
      </c>
      <c r="AQ38" t="s">
        <v>20</v>
      </c>
      <c r="AR38" s="2">
        <v>45012</v>
      </c>
      <c r="AS38" t="s">
        <v>20</v>
      </c>
      <c r="AU38" t="s">
        <v>1776</v>
      </c>
      <c r="AV38" t="s">
        <v>1775</v>
      </c>
      <c r="AW38" s="2">
        <v>45443</v>
      </c>
      <c r="AX38" s="2">
        <v>45397</v>
      </c>
      <c r="AY38" s="2">
        <v>45405</v>
      </c>
      <c r="BF38" t="s">
        <v>2612</v>
      </c>
    </row>
    <row r="39" spans="1:58" ht="287.5">
      <c r="B39">
        <v>41</v>
      </c>
      <c r="C39" s="1" t="s">
        <v>2611</v>
      </c>
      <c r="D39" t="s">
        <v>15</v>
      </c>
      <c r="E39" s="1" t="s">
        <v>314</v>
      </c>
      <c r="F39" s="1" t="s">
        <v>2610</v>
      </c>
      <c r="G39" s="1" t="s">
        <v>2609</v>
      </c>
      <c r="H39" t="s">
        <v>63</v>
      </c>
      <c r="J39" t="s">
        <v>315</v>
      </c>
      <c r="L39" t="s">
        <v>316</v>
      </c>
      <c r="M39" t="s">
        <v>317</v>
      </c>
      <c r="T39" t="s">
        <v>20</v>
      </c>
      <c r="U39" t="s">
        <v>2551</v>
      </c>
      <c r="V39" s="1" t="s">
        <v>2608</v>
      </c>
      <c r="W39" t="s">
        <v>2600</v>
      </c>
      <c r="X39" t="s">
        <v>2607</v>
      </c>
      <c r="Z39" s="2">
        <v>45017</v>
      </c>
      <c r="AA39" s="2">
        <v>45019</v>
      </c>
      <c r="AB39" s="2">
        <v>45382</v>
      </c>
      <c r="AC39" t="s">
        <v>20</v>
      </c>
      <c r="AE39" t="s">
        <v>2606</v>
      </c>
      <c r="AG39" t="s">
        <v>2606</v>
      </c>
      <c r="AJ39" s="2">
        <v>45019</v>
      </c>
      <c r="AK39" s="2">
        <v>45019</v>
      </c>
      <c r="AL39" s="2">
        <v>45019</v>
      </c>
      <c r="AM39" s="2">
        <v>45019</v>
      </c>
      <c r="AN39" t="s">
        <v>1779</v>
      </c>
      <c r="AP39" t="s">
        <v>1777</v>
      </c>
      <c r="AQ39" s="2">
        <v>45046</v>
      </c>
      <c r="AR39" s="2">
        <v>45068</v>
      </c>
      <c r="AS39" t="s">
        <v>20</v>
      </c>
      <c r="AU39" t="s">
        <v>1776</v>
      </c>
      <c r="AV39" t="s">
        <v>2605</v>
      </c>
      <c r="AW39" s="2">
        <v>45443</v>
      </c>
      <c r="AX39" s="3">
        <v>46305</v>
      </c>
      <c r="AY39" s="2">
        <v>45581</v>
      </c>
      <c r="BF39" t="s">
        <v>1763</v>
      </c>
    </row>
    <row r="40" spans="1:58" ht="137.5">
      <c r="B40">
        <v>42</v>
      </c>
      <c r="C40" s="1" t="s">
        <v>2604</v>
      </c>
      <c r="D40" t="s">
        <v>15</v>
      </c>
      <c r="E40" t="s">
        <v>318</v>
      </c>
      <c r="F40" t="s">
        <v>1785</v>
      </c>
      <c r="G40" s="1" t="s">
        <v>1784</v>
      </c>
      <c r="H40" t="s">
        <v>319</v>
      </c>
      <c r="J40" t="s">
        <v>320</v>
      </c>
      <c r="K40" t="s">
        <v>321</v>
      </c>
      <c r="M40" s="1" t="s">
        <v>322</v>
      </c>
      <c r="T40" t="s">
        <v>20</v>
      </c>
      <c r="V40" t="s">
        <v>1783</v>
      </c>
      <c r="W40" t="s">
        <v>1782</v>
      </c>
      <c r="X40" t="s">
        <v>1781</v>
      </c>
      <c r="Z40" s="2">
        <v>45017</v>
      </c>
      <c r="AA40" s="2">
        <v>45020</v>
      </c>
      <c r="AB40" s="2">
        <v>45382</v>
      </c>
      <c r="AC40" t="s">
        <v>20</v>
      </c>
      <c r="AE40" t="s">
        <v>1780</v>
      </c>
      <c r="AG40" t="s">
        <v>1780</v>
      </c>
      <c r="AJ40" s="2">
        <v>45020</v>
      </c>
      <c r="AK40" s="2">
        <v>45020</v>
      </c>
      <c r="AL40" s="2">
        <v>45020</v>
      </c>
      <c r="AM40" s="2">
        <v>45020</v>
      </c>
      <c r="AN40" t="s">
        <v>1779</v>
      </c>
      <c r="AO40" t="s">
        <v>1778</v>
      </c>
      <c r="AP40" t="s">
        <v>1777</v>
      </c>
      <c r="AQ40" t="s">
        <v>20</v>
      </c>
      <c r="AR40" s="2">
        <v>45022</v>
      </c>
      <c r="AS40" t="s">
        <v>20</v>
      </c>
      <c r="AU40" t="s">
        <v>1776</v>
      </c>
      <c r="AV40" t="s">
        <v>1775</v>
      </c>
      <c r="AW40" s="2">
        <v>45443</v>
      </c>
      <c r="AX40" s="2">
        <v>45389</v>
      </c>
      <c r="AY40" s="2">
        <v>45390</v>
      </c>
      <c r="BF40" t="s">
        <v>1774</v>
      </c>
    </row>
    <row r="41" spans="1:58" ht="300">
      <c r="B41">
        <v>43</v>
      </c>
      <c r="C41" s="1" t="s">
        <v>2603</v>
      </c>
      <c r="E41" s="1" t="s">
        <v>308</v>
      </c>
      <c r="F41" t="s">
        <v>1785</v>
      </c>
      <c r="G41" s="1" t="s">
        <v>2602</v>
      </c>
      <c r="H41" t="s">
        <v>16</v>
      </c>
      <c r="J41" t="s">
        <v>309</v>
      </c>
      <c r="K41" t="s">
        <v>310</v>
      </c>
      <c r="L41" t="s">
        <v>311</v>
      </c>
      <c r="M41" s="1" t="s">
        <v>312</v>
      </c>
      <c r="T41" t="s">
        <v>20</v>
      </c>
      <c r="V41" s="1" t="s">
        <v>2601</v>
      </c>
      <c r="W41" t="s">
        <v>2600</v>
      </c>
      <c r="X41" s="3">
        <v>46189</v>
      </c>
      <c r="Z41" s="2">
        <v>45017</v>
      </c>
      <c r="AA41" s="2">
        <v>45022</v>
      </c>
      <c r="AB41" s="2">
        <v>45382</v>
      </c>
      <c r="AC41" t="s">
        <v>20</v>
      </c>
      <c r="AE41" t="s">
        <v>2599</v>
      </c>
      <c r="AG41" t="s">
        <v>2599</v>
      </c>
      <c r="AJ41" s="2">
        <v>45022</v>
      </c>
      <c r="AK41" s="2">
        <v>45022</v>
      </c>
      <c r="AL41" s="2">
        <v>45022</v>
      </c>
      <c r="AM41" s="2">
        <v>45022</v>
      </c>
      <c r="AN41" t="s">
        <v>1779</v>
      </c>
      <c r="AO41" t="s">
        <v>1778</v>
      </c>
      <c r="AP41" t="s">
        <v>1777</v>
      </c>
      <c r="AQ41" t="s">
        <v>20</v>
      </c>
      <c r="AR41" s="2">
        <v>45027</v>
      </c>
      <c r="AS41" t="s">
        <v>20</v>
      </c>
      <c r="AU41" t="s">
        <v>1776</v>
      </c>
      <c r="AV41" t="s">
        <v>2598</v>
      </c>
      <c r="AW41" s="2">
        <v>45443</v>
      </c>
      <c r="AX41" s="1" t="s">
        <v>2597</v>
      </c>
      <c r="AY41" s="1" t="s">
        <v>2596</v>
      </c>
      <c r="BE41" t="s">
        <v>2595</v>
      </c>
    </row>
    <row r="42" spans="1:58" ht="112.5">
      <c r="A42">
        <v>52</v>
      </c>
      <c r="B42">
        <v>44</v>
      </c>
      <c r="C42" s="1" t="s">
        <v>2594</v>
      </c>
      <c r="D42" t="s">
        <v>15</v>
      </c>
      <c r="E42" t="s">
        <v>324</v>
      </c>
      <c r="F42" t="s">
        <v>1785</v>
      </c>
      <c r="G42" s="1" t="s">
        <v>2593</v>
      </c>
      <c r="H42" t="s">
        <v>260</v>
      </c>
      <c r="J42" t="s">
        <v>325</v>
      </c>
      <c r="K42" t="s">
        <v>326</v>
      </c>
      <c r="L42" t="s">
        <v>327</v>
      </c>
      <c r="M42" s="1" t="s">
        <v>328</v>
      </c>
      <c r="S42" t="s">
        <v>1849</v>
      </c>
      <c r="T42" t="s">
        <v>20</v>
      </c>
      <c r="U42" s="1" t="s">
        <v>2592</v>
      </c>
      <c r="V42" t="s">
        <v>2591</v>
      </c>
      <c r="W42" t="s">
        <v>2571</v>
      </c>
      <c r="X42" s="3">
        <v>46058</v>
      </c>
      <c r="Z42" s="2">
        <v>45017</v>
      </c>
      <c r="AA42" s="2">
        <v>45027</v>
      </c>
      <c r="AB42" s="2">
        <v>45382</v>
      </c>
      <c r="AC42" t="s">
        <v>20</v>
      </c>
      <c r="AE42" t="s">
        <v>2590</v>
      </c>
      <c r="AG42" t="s">
        <v>2590</v>
      </c>
      <c r="AJ42" s="2">
        <v>45027</v>
      </c>
      <c r="AK42" s="2">
        <v>45027</v>
      </c>
      <c r="AL42" s="2">
        <v>45027</v>
      </c>
      <c r="AM42" s="2">
        <v>45027</v>
      </c>
      <c r="AN42" t="s">
        <v>1779</v>
      </c>
      <c r="AO42" t="s">
        <v>1778</v>
      </c>
      <c r="AP42" t="s">
        <v>1777</v>
      </c>
      <c r="AQ42" t="s">
        <v>20</v>
      </c>
      <c r="AR42" s="2">
        <v>45033</v>
      </c>
      <c r="AS42" t="s">
        <v>20</v>
      </c>
      <c r="AU42" t="s">
        <v>2589</v>
      </c>
      <c r="AV42" t="s">
        <v>2588</v>
      </c>
      <c r="AW42" s="2">
        <v>45443</v>
      </c>
      <c r="AX42" s="2">
        <v>45392</v>
      </c>
      <c r="AY42" s="2">
        <v>45394</v>
      </c>
      <c r="AZ42" t="s">
        <v>1764</v>
      </c>
      <c r="BF42" t="s">
        <v>2587</v>
      </c>
    </row>
    <row r="43" spans="1:58" ht="200">
      <c r="A43">
        <v>49</v>
      </c>
      <c r="B43">
        <v>45</v>
      </c>
      <c r="C43" s="1" t="s">
        <v>2586</v>
      </c>
      <c r="D43" t="s">
        <v>15</v>
      </c>
      <c r="E43" t="s">
        <v>303</v>
      </c>
      <c r="F43" t="s">
        <v>1785</v>
      </c>
      <c r="G43" s="1" t="s">
        <v>2585</v>
      </c>
      <c r="H43" t="s">
        <v>50</v>
      </c>
      <c r="J43" t="s">
        <v>304</v>
      </c>
      <c r="K43" t="s">
        <v>305</v>
      </c>
      <c r="L43" t="s">
        <v>306</v>
      </c>
      <c r="M43" t="s">
        <v>307</v>
      </c>
      <c r="Q43" t="s">
        <v>2584</v>
      </c>
      <c r="S43" t="s">
        <v>1849</v>
      </c>
      <c r="T43" t="s">
        <v>20</v>
      </c>
      <c r="V43" t="s">
        <v>2583</v>
      </c>
      <c r="W43" s="1" t="s">
        <v>2582</v>
      </c>
      <c r="X43" s="3">
        <v>46164</v>
      </c>
      <c r="Z43" s="2">
        <v>45047</v>
      </c>
      <c r="AA43" s="1" t="s">
        <v>2581</v>
      </c>
      <c r="AB43" s="2">
        <v>45412</v>
      </c>
      <c r="AC43" t="s">
        <v>20</v>
      </c>
      <c r="AE43" t="s">
        <v>2580</v>
      </c>
      <c r="AG43" s="1" t="s">
        <v>2579</v>
      </c>
      <c r="AJ43" s="1" t="s">
        <v>2578</v>
      </c>
      <c r="AK43" s="2">
        <v>45036</v>
      </c>
      <c r="AL43" s="2">
        <v>45036</v>
      </c>
      <c r="AM43" s="2">
        <v>45036</v>
      </c>
      <c r="AN43" t="s">
        <v>1779</v>
      </c>
      <c r="AO43" t="s">
        <v>1778</v>
      </c>
      <c r="AP43" t="s">
        <v>1777</v>
      </c>
      <c r="AQ43" s="2">
        <v>45107</v>
      </c>
      <c r="AR43" s="2">
        <v>45078</v>
      </c>
      <c r="AS43" t="s">
        <v>20</v>
      </c>
      <c r="AU43" t="s">
        <v>1776</v>
      </c>
      <c r="AV43" t="s">
        <v>2577</v>
      </c>
      <c r="AW43" s="2">
        <v>45458</v>
      </c>
      <c r="AX43" s="2">
        <v>45414</v>
      </c>
      <c r="AY43" s="2">
        <v>45421</v>
      </c>
      <c r="BF43" t="s">
        <v>2576</v>
      </c>
    </row>
    <row r="44" spans="1:58" ht="125">
      <c r="A44">
        <v>30</v>
      </c>
      <c r="B44">
        <v>47</v>
      </c>
      <c r="C44" s="1" t="s">
        <v>2575</v>
      </c>
      <c r="D44" t="s">
        <v>245</v>
      </c>
      <c r="E44" t="s">
        <v>246</v>
      </c>
      <c r="F44" t="s">
        <v>1785</v>
      </c>
      <c r="G44" s="1" t="s">
        <v>2574</v>
      </c>
      <c r="H44" t="s">
        <v>247</v>
      </c>
      <c r="J44" t="s">
        <v>248</v>
      </c>
      <c r="K44" t="s">
        <v>249</v>
      </c>
      <c r="L44" t="s">
        <v>250</v>
      </c>
      <c r="M44" t="s">
        <v>251</v>
      </c>
      <c r="Q44" t="s">
        <v>2281</v>
      </c>
      <c r="R44" t="s">
        <v>2514</v>
      </c>
      <c r="S44" t="s">
        <v>2235</v>
      </c>
      <c r="T44" t="s">
        <v>20</v>
      </c>
      <c r="U44" t="s">
        <v>2573</v>
      </c>
      <c r="V44" s="1" t="s">
        <v>2572</v>
      </c>
      <c r="W44" t="s">
        <v>2571</v>
      </c>
      <c r="X44" s="3">
        <v>46066</v>
      </c>
      <c r="Z44" s="2">
        <v>45031</v>
      </c>
      <c r="AA44" s="2">
        <v>45037</v>
      </c>
      <c r="AB44" s="2">
        <v>45396</v>
      </c>
      <c r="AC44" t="s">
        <v>20</v>
      </c>
      <c r="AE44" t="s">
        <v>2570</v>
      </c>
      <c r="AG44" t="s">
        <v>2570</v>
      </c>
      <c r="AJ44" s="2">
        <v>45040</v>
      </c>
      <c r="AK44" s="2">
        <v>45040</v>
      </c>
      <c r="AL44" s="2">
        <v>45040</v>
      </c>
      <c r="AM44" s="2">
        <v>45040</v>
      </c>
      <c r="AN44" t="s">
        <v>1779</v>
      </c>
      <c r="AO44" t="s">
        <v>2266</v>
      </c>
      <c r="AP44" t="s">
        <v>1777</v>
      </c>
      <c r="AQ44" s="2">
        <v>45077</v>
      </c>
      <c r="AR44" s="2">
        <v>45089</v>
      </c>
      <c r="AS44" t="s">
        <v>20</v>
      </c>
      <c r="AU44" t="s">
        <v>2569</v>
      </c>
      <c r="AV44" t="s">
        <v>2276</v>
      </c>
      <c r="AW44" s="2">
        <v>45443</v>
      </c>
      <c r="AX44" s="2">
        <v>45443</v>
      </c>
      <c r="AY44" s="2">
        <v>45447</v>
      </c>
      <c r="AZ44" t="s">
        <v>1764</v>
      </c>
      <c r="BB44" s="2">
        <v>45839</v>
      </c>
      <c r="BC44" s="2">
        <v>45889</v>
      </c>
      <c r="BF44" t="s">
        <v>1763</v>
      </c>
    </row>
    <row r="45" spans="1:58" ht="125">
      <c r="B45">
        <v>48</v>
      </c>
      <c r="C45" s="1" t="s">
        <v>2568</v>
      </c>
      <c r="D45" t="s">
        <v>22</v>
      </c>
      <c r="E45" t="s">
        <v>337</v>
      </c>
      <c r="F45" t="s">
        <v>1785</v>
      </c>
      <c r="G45" s="1" t="s">
        <v>2567</v>
      </c>
      <c r="H45" t="s">
        <v>121</v>
      </c>
      <c r="J45" t="s">
        <v>338</v>
      </c>
      <c r="K45" t="s">
        <v>339</v>
      </c>
      <c r="L45" t="s">
        <v>340</v>
      </c>
      <c r="M45" t="s">
        <v>341</v>
      </c>
      <c r="T45" t="s">
        <v>20</v>
      </c>
      <c r="U45" t="s">
        <v>2566</v>
      </c>
      <c r="V45" t="s">
        <v>2565</v>
      </c>
      <c r="W45" t="s">
        <v>2549</v>
      </c>
      <c r="X45" s="3">
        <v>46066</v>
      </c>
      <c r="Z45" s="2">
        <v>45043</v>
      </c>
      <c r="AA45" s="2">
        <v>45042</v>
      </c>
      <c r="AB45" s="2">
        <v>45408</v>
      </c>
      <c r="AC45" t="s">
        <v>20</v>
      </c>
      <c r="AE45" t="s">
        <v>2564</v>
      </c>
      <c r="AG45" t="s">
        <v>2564</v>
      </c>
      <c r="AJ45" s="2">
        <v>45042</v>
      </c>
      <c r="AK45" s="2">
        <v>45042</v>
      </c>
      <c r="AL45" s="2">
        <v>45042</v>
      </c>
      <c r="AM45" s="2">
        <v>45042</v>
      </c>
      <c r="AN45" t="s">
        <v>1779</v>
      </c>
      <c r="AO45" t="s">
        <v>1778</v>
      </c>
      <c r="AP45" t="s">
        <v>1777</v>
      </c>
      <c r="AQ45" s="2">
        <v>45077</v>
      </c>
      <c r="AR45" s="2">
        <v>45044</v>
      </c>
      <c r="AS45" t="s">
        <v>20</v>
      </c>
      <c r="AU45" t="s">
        <v>2563</v>
      </c>
      <c r="AV45" t="s">
        <v>2562</v>
      </c>
      <c r="AW45" s="2">
        <v>45443</v>
      </c>
      <c r="AX45" s="2">
        <v>45414</v>
      </c>
      <c r="AY45" s="2">
        <v>45421</v>
      </c>
      <c r="AZ45" t="s">
        <v>1764</v>
      </c>
      <c r="BC45" t="s">
        <v>2561</v>
      </c>
    </row>
    <row r="46" spans="1:58" ht="112.5">
      <c r="B46">
        <v>49</v>
      </c>
      <c r="C46" s="1" t="s">
        <v>2560</v>
      </c>
      <c r="D46" t="s">
        <v>15</v>
      </c>
      <c r="E46" t="s">
        <v>280</v>
      </c>
      <c r="F46" t="s">
        <v>1785</v>
      </c>
      <c r="G46" s="1" t="s">
        <v>2559</v>
      </c>
      <c r="H46" t="s">
        <v>16</v>
      </c>
      <c r="J46" t="s">
        <v>281</v>
      </c>
      <c r="K46" t="s">
        <v>282</v>
      </c>
      <c r="L46" t="s">
        <v>283</v>
      </c>
      <c r="M46" s="1" t="s">
        <v>284</v>
      </c>
      <c r="T46" t="s">
        <v>20</v>
      </c>
      <c r="V46" t="s">
        <v>2558</v>
      </c>
      <c r="W46" s="1" t="s">
        <v>2557</v>
      </c>
      <c r="X46" s="3">
        <v>46081</v>
      </c>
      <c r="Z46" s="2">
        <v>45017</v>
      </c>
      <c r="AA46" s="2">
        <v>45055</v>
      </c>
      <c r="AB46" s="2">
        <v>45382</v>
      </c>
      <c r="AC46" t="s">
        <v>20</v>
      </c>
      <c r="AE46" t="s">
        <v>2556</v>
      </c>
      <c r="AG46" t="s">
        <v>2556</v>
      </c>
      <c r="AJ46" s="2">
        <v>45056</v>
      </c>
      <c r="AK46" s="2">
        <v>45056</v>
      </c>
      <c r="AL46" s="2">
        <v>45056</v>
      </c>
      <c r="AM46" s="2">
        <v>45056</v>
      </c>
      <c r="AN46" t="s">
        <v>1779</v>
      </c>
      <c r="AO46" t="s">
        <v>2261</v>
      </c>
      <c r="AP46" t="s">
        <v>2547</v>
      </c>
      <c r="AQ46" s="2">
        <v>45107</v>
      </c>
      <c r="AR46" s="2">
        <v>45106</v>
      </c>
      <c r="AS46" t="s">
        <v>20</v>
      </c>
      <c r="AU46" t="s">
        <v>1776</v>
      </c>
      <c r="AV46" t="s">
        <v>2555</v>
      </c>
      <c r="AW46" s="2">
        <v>45443</v>
      </c>
      <c r="AX46" s="2">
        <v>45447</v>
      </c>
      <c r="AY46" s="2">
        <v>45449</v>
      </c>
      <c r="BF46" t="s">
        <v>1763</v>
      </c>
    </row>
    <row r="47" spans="1:58" ht="125">
      <c r="A47">
        <v>54</v>
      </c>
      <c r="B47">
        <v>50</v>
      </c>
      <c r="C47" s="1" t="s">
        <v>2554</v>
      </c>
      <c r="D47" t="s">
        <v>22</v>
      </c>
      <c r="E47" t="s">
        <v>330</v>
      </c>
      <c r="F47" s="1" t="s">
        <v>2553</v>
      </c>
      <c r="G47" s="1" t="s">
        <v>2552</v>
      </c>
      <c r="H47" t="s">
        <v>331</v>
      </c>
      <c r="J47" t="s">
        <v>332</v>
      </c>
      <c r="K47" t="s">
        <v>333</v>
      </c>
      <c r="L47" s="1" t="s">
        <v>334</v>
      </c>
      <c r="M47" s="1" t="s">
        <v>335</v>
      </c>
      <c r="S47" t="s">
        <v>1849</v>
      </c>
      <c r="T47" t="s">
        <v>20</v>
      </c>
      <c r="U47" t="s">
        <v>2551</v>
      </c>
      <c r="V47" t="s">
        <v>2550</v>
      </c>
      <c r="W47" t="s">
        <v>2549</v>
      </c>
      <c r="X47" s="3">
        <v>46074</v>
      </c>
      <c r="Z47" s="2">
        <v>45054</v>
      </c>
      <c r="AA47" s="2">
        <v>45061</v>
      </c>
      <c r="AB47" s="2">
        <v>45419</v>
      </c>
      <c r="AC47" t="s">
        <v>20</v>
      </c>
      <c r="AE47" t="s">
        <v>2548</v>
      </c>
      <c r="AJ47" t="s">
        <v>2548</v>
      </c>
      <c r="AN47" t="s">
        <v>1779</v>
      </c>
      <c r="AO47" t="s">
        <v>2266</v>
      </c>
      <c r="AP47" t="s">
        <v>2547</v>
      </c>
      <c r="AQ47" s="2">
        <v>45107</v>
      </c>
      <c r="AR47" s="2">
        <v>45077</v>
      </c>
      <c r="AS47" t="s">
        <v>20</v>
      </c>
      <c r="AU47" t="s">
        <v>1776</v>
      </c>
      <c r="AV47" t="s">
        <v>2546</v>
      </c>
      <c r="AW47" s="2">
        <v>45473</v>
      </c>
      <c r="AX47" s="2">
        <v>45443</v>
      </c>
      <c r="AY47" s="2">
        <v>45447</v>
      </c>
      <c r="AZ47" t="s">
        <v>1764</v>
      </c>
      <c r="BF47" t="s">
        <v>2545</v>
      </c>
    </row>
    <row r="48" spans="1:58" ht="225">
      <c r="A48">
        <v>36</v>
      </c>
      <c r="B48">
        <v>52</v>
      </c>
      <c r="C48" s="1" t="s">
        <v>2544</v>
      </c>
      <c r="E48" t="s">
        <v>253</v>
      </c>
      <c r="F48" s="1" t="s">
        <v>2543</v>
      </c>
      <c r="G48" s="1" t="s">
        <v>2542</v>
      </c>
      <c r="H48" t="s">
        <v>16</v>
      </c>
      <c r="J48" t="s">
        <v>254</v>
      </c>
      <c r="K48" t="s">
        <v>255</v>
      </c>
      <c r="L48" t="s">
        <v>256</v>
      </c>
      <c r="M48" s="1" t="s">
        <v>257</v>
      </c>
      <c r="Q48" t="s">
        <v>2281</v>
      </c>
      <c r="R48" t="s">
        <v>2514</v>
      </c>
      <c r="S48" t="s">
        <v>2235</v>
      </c>
      <c r="T48" t="s">
        <v>20</v>
      </c>
      <c r="U48" s="1" t="s">
        <v>2541</v>
      </c>
      <c r="V48" t="s">
        <v>2540</v>
      </c>
      <c r="W48" t="s">
        <v>2511</v>
      </c>
      <c r="X48" s="3">
        <v>46057</v>
      </c>
      <c r="Z48" s="2">
        <v>45078</v>
      </c>
      <c r="AA48" s="2">
        <v>45086</v>
      </c>
      <c r="AB48" s="2">
        <v>45443</v>
      </c>
      <c r="AC48" t="s">
        <v>20</v>
      </c>
      <c r="AE48" t="s">
        <v>2521</v>
      </c>
      <c r="AJ48" t="s">
        <v>2521</v>
      </c>
      <c r="AN48" t="s">
        <v>1779</v>
      </c>
      <c r="AO48" t="s">
        <v>1778</v>
      </c>
      <c r="AQ48" s="2">
        <v>45137</v>
      </c>
      <c r="AR48" s="2">
        <v>45097</v>
      </c>
      <c r="AS48" t="s">
        <v>20</v>
      </c>
      <c r="AU48" s="1" t="s">
        <v>2539</v>
      </c>
      <c r="AV48" t="s">
        <v>2532</v>
      </c>
      <c r="AW48" s="2">
        <v>45504</v>
      </c>
      <c r="AX48" s="2">
        <v>45463</v>
      </c>
      <c r="AY48" s="2">
        <v>45485</v>
      </c>
      <c r="AZ48" t="s">
        <v>1764</v>
      </c>
      <c r="BF48" t="s">
        <v>2538</v>
      </c>
    </row>
    <row r="49" spans="1:58" ht="112.5">
      <c r="B49">
        <v>53</v>
      </c>
      <c r="C49" s="1" t="s">
        <v>2537</v>
      </c>
      <c r="D49" t="s">
        <v>15</v>
      </c>
      <c r="E49" t="s">
        <v>259</v>
      </c>
      <c r="F49" t="s">
        <v>2536</v>
      </c>
      <c r="G49" s="1" t="s">
        <v>2535</v>
      </c>
      <c r="H49" t="s">
        <v>260</v>
      </c>
      <c r="J49" t="s">
        <v>261</v>
      </c>
      <c r="K49" t="s">
        <v>262</v>
      </c>
      <c r="V49" s="1" t="s">
        <v>2534</v>
      </c>
      <c r="W49" t="s">
        <v>2511</v>
      </c>
      <c r="X49" s="3">
        <v>46074</v>
      </c>
      <c r="Z49" s="2">
        <v>45078</v>
      </c>
      <c r="AA49" s="2">
        <v>45089</v>
      </c>
      <c r="AB49" s="2">
        <v>45443</v>
      </c>
      <c r="AC49" t="s">
        <v>20</v>
      </c>
      <c r="AJ49" t="s">
        <v>2521</v>
      </c>
      <c r="AN49" t="s">
        <v>1779</v>
      </c>
      <c r="AO49" t="s">
        <v>1778</v>
      </c>
      <c r="AQ49" s="2">
        <v>45137</v>
      </c>
      <c r="AR49" s="2">
        <v>45097</v>
      </c>
      <c r="AS49" t="s">
        <v>20</v>
      </c>
      <c r="AU49" t="s">
        <v>2533</v>
      </c>
      <c r="AV49" t="s">
        <v>2532</v>
      </c>
      <c r="AW49" s="2">
        <v>45504</v>
      </c>
      <c r="AX49" s="2">
        <v>45463</v>
      </c>
      <c r="AY49" s="2">
        <v>45485</v>
      </c>
      <c r="AZ49" t="s">
        <v>1764</v>
      </c>
      <c r="BF49" t="s">
        <v>2531</v>
      </c>
    </row>
    <row r="50" spans="1:58" ht="162.5">
      <c r="B50">
        <v>54</v>
      </c>
      <c r="C50" t="s">
        <v>298</v>
      </c>
      <c r="E50" t="s">
        <v>299</v>
      </c>
      <c r="G50" s="1" t="s">
        <v>2530</v>
      </c>
      <c r="H50" t="s">
        <v>63</v>
      </c>
      <c r="L50" t="s">
        <v>300</v>
      </c>
      <c r="M50" t="s">
        <v>301</v>
      </c>
      <c r="U50" t="s">
        <v>2529</v>
      </c>
      <c r="V50" s="1" t="s">
        <v>2528</v>
      </c>
      <c r="W50" t="s">
        <v>2527</v>
      </c>
      <c r="X50" s="3">
        <v>46164</v>
      </c>
      <c r="Z50" s="2">
        <v>45017</v>
      </c>
      <c r="AA50" s="2">
        <v>45097</v>
      </c>
      <c r="AB50" s="2">
        <v>45382</v>
      </c>
      <c r="AC50" t="s">
        <v>20</v>
      </c>
      <c r="AE50" t="s">
        <v>2526</v>
      </c>
      <c r="AG50" t="s">
        <v>2525</v>
      </c>
      <c r="AJ50" t="s">
        <v>2503</v>
      </c>
      <c r="AN50" t="s">
        <v>1779</v>
      </c>
      <c r="AO50" t="s">
        <v>2285</v>
      </c>
      <c r="AQ50" s="2">
        <v>45137</v>
      </c>
      <c r="AR50" s="2">
        <v>45098</v>
      </c>
      <c r="AS50" t="s">
        <v>20</v>
      </c>
      <c r="AU50" t="s">
        <v>1776</v>
      </c>
      <c r="AV50" t="s">
        <v>2287</v>
      </c>
      <c r="AW50" s="2">
        <v>45443</v>
      </c>
      <c r="AX50" s="2">
        <v>45399</v>
      </c>
      <c r="AY50" s="2">
        <v>45405</v>
      </c>
    </row>
    <row r="51" spans="1:58" ht="125">
      <c r="B51">
        <v>55</v>
      </c>
      <c r="C51" s="1" t="s">
        <v>2524</v>
      </c>
      <c r="D51" t="s">
        <v>15</v>
      </c>
      <c r="E51" t="s">
        <v>350</v>
      </c>
      <c r="G51" s="1" t="s">
        <v>2523</v>
      </c>
      <c r="H51" t="s">
        <v>44</v>
      </c>
      <c r="J51" t="s">
        <v>351</v>
      </c>
      <c r="L51" t="s">
        <v>352</v>
      </c>
      <c r="M51" t="s">
        <v>353</v>
      </c>
      <c r="Q51" t="s">
        <v>2521</v>
      </c>
      <c r="S51" t="s">
        <v>20</v>
      </c>
      <c r="T51" t="s">
        <v>20</v>
      </c>
      <c r="U51" t="s">
        <v>20</v>
      </c>
      <c r="V51" s="1" t="s">
        <v>2522</v>
      </c>
      <c r="W51" t="s">
        <v>2521</v>
      </c>
      <c r="X51" s="3">
        <v>46193</v>
      </c>
      <c r="Z51" s="2">
        <v>45108</v>
      </c>
      <c r="AA51" s="2">
        <v>45099</v>
      </c>
      <c r="AB51" s="2">
        <v>45473</v>
      </c>
      <c r="AC51" t="s">
        <v>20</v>
      </c>
      <c r="AE51" t="s">
        <v>2503</v>
      </c>
      <c r="AG51" t="s">
        <v>2503</v>
      </c>
      <c r="AJ51" t="s">
        <v>2503</v>
      </c>
      <c r="AN51" t="s">
        <v>1779</v>
      </c>
      <c r="AO51" t="s">
        <v>1778</v>
      </c>
      <c r="AQ51" s="2">
        <v>45138</v>
      </c>
      <c r="AR51" s="2">
        <v>45138</v>
      </c>
      <c r="AS51" t="s">
        <v>20</v>
      </c>
      <c r="AU51" t="s">
        <v>2520</v>
      </c>
      <c r="AV51" t="s">
        <v>2241</v>
      </c>
      <c r="AW51" s="2">
        <v>45535</v>
      </c>
      <c r="AX51" s="3">
        <v>46239</v>
      </c>
      <c r="AY51" s="2">
        <v>45517</v>
      </c>
      <c r="BF51" t="s">
        <v>2519</v>
      </c>
    </row>
    <row r="52" spans="1:58" ht="137.5">
      <c r="B52">
        <v>56</v>
      </c>
      <c r="C52" t="s">
        <v>2518</v>
      </c>
      <c r="D52" t="s">
        <v>15</v>
      </c>
      <c r="E52" t="s">
        <v>233</v>
      </c>
      <c r="F52" s="1" t="s">
        <v>2517</v>
      </c>
      <c r="G52" s="1" t="s">
        <v>2516</v>
      </c>
      <c r="H52" t="s">
        <v>63</v>
      </c>
      <c r="J52" t="s">
        <v>234</v>
      </c>
      <c r="K52" t="s">
        <v>235</v>
      </c>
      <c r="L52" t="s">
        <v>236</v>
      </c>
      <c r="M52" t="s">
        <v>237</v>
      </c>
      <c r="Q52" t="s">
        <v>2515</v>
      </c>
      <c r="R52" t="s">
        <v>2514</v>
      </c>
      <c r="T52" t="s">
        <v>20</v>
      </c>
      <c r="U52" t="s">
        <v>2513</v>
      </c>
      <c r="V52" t="s">
        <v>2512</v>
      </c>
      <c r="W52" t="s">
        <v>2511</v>
      </c>
      <c r="X52" s="3">
        <v>46177</v>
      </c>
      <c r="Z52" s="2">
        <v>45078</v>
      </c>
      <c r="AA52" s="2">
        <v>45104</v>
      </c>
      <c r="AB52" s="2">
        <v>45443</v>
      </c>
      <c r="AC52" t="s">
        <v>20</v>
      </c>
      <c r="AE52" t="s">
        <v>2503</v>
      </c>
      <c r="AG52" t="s">
        <v>2503</v>
      </c>
      <c r="AJ52" t="s">
        <v>2503</v>
      </c>
      <c r="AN52" t="s">
        <v>1779</v>
      </c>
      <c r="AO52" t="s">
        <v>1778</v>
      </c>
      <c r="AQ52" s="2">
        <v>45138</v>
      </c>
      <c r="AR52" s="2">
        <v>45132</v>
      </c>
      <c r="AS52" t="s">
        <v>20</v>
      </c>
      <c r="AU52" t="s">
        <v>1776</v>
      </c>
      <c r="AV52" t="s">
        <v>2510</v>
      </c>
      <c r="AW52" s="2">
        <v>45504</v>
      </c>
      <c r="AX52" s="2">
        <v>45463</v>
      </c>
      <c r="AY52" s="2">
        <v>45485</v>
      </c>
      <c r="AZ52" t="s">
        <v>1764</v>
      </c>
      <c r="BF52" t="s">
        <v>2509</v>
      </c>
    </row>
    <row r="53" spans="1:58" ht="150">
      <c r="A53">
        <v>55</v>
      </c>
      <c r="B53">
        <v>57</v>
      </c>
      <c r="C53" s="1" t="s">
        <v>2508</v>
      </c>
      <c r="D53" t="s">
        <v>343</v>
      </c>
      <c r="E53" s="1" t="s">
        <v>344</v>
      </c>
      <c r="F53" s="1" t="s">
        <v>2507</v>
      </c>
      <c r="G53" s="1" t="s">
        <v>2506</v>
      </c>
      <c r="H53" t="s">
        <v>260</v>
      </c>
      <c r="J53" t="s">
        <v>345</v>
      </c>
      <c r="K53" t="s">
        <v>346</v>
      </c>
      <c r="L53" t="s">
        <v>347</v>
      </c>
      <c r="M53" t="s">
        <v>348</v>
      </c>
      <c r="S53" t="s">
        <v>1849</v>
      </c>
      <c r="T53" t="s">
        <v>20</v>
      </c>
      <c r="U53" t="s">
        <v>2505</v>
      </c>
      <c r="V53" s="1" t="s">
        <v>2504</v>
      </c>
      <c r="W53" t="s">
        <v>2503</v>
      </c>
      <c r="X53" s="3">
        <v>46079</v>
      </c>
      <c r="Z53" s="2">
        <v>45108</v>
      </c>
      <c r="AA53" s="2">
        <v>45110</v>
      </c>
      <c r="AB53" s="2">
        <v>45473</v>
      </c>
      <c r="AC53" t="s">
        <v>20</v>
      </c>
      <c r="AE53" t="s">
        <v>2502</v>
      </c>
      <c r="AJ53" t="s">
        <v>2502</v>
      </c>
      <c r="AN53" t="s">
        <v>1779</v>
      </c>
      <c r="AO53" t="s">
        <v>1778</v>
      </c>
      <c r="AQ53" s="2">
        <v>45169</v>
      </c>
      <c r="AR53" s="2">
        <v>45133</v>
      </c>
      <c r="AS53" t="s">
        <v>20</v>
      </c>
      <c r="AU53" t="s">
        <v>2381</v>
      </c>
      <c r="AV53" t="s">
        <v>2501</v>
      </c>
      <c r="AW53" s="2">
        <v>45535</v>
      </c>
      <c r="AX53" s="3">
        <v>46222</v>
      </c>
      <c r="AY53" s="2">
        <v>45502</v>
      </c>
      <c r="BF53" t="s">
        <v>2500</v>
      </c>
    </row>
    <row r="54" spans="1:58" ht="409.5">
      <c r="B54">
        <v>58</v>
      </c>
      <c r="C54" s="1" t="s">
        <v>2499</v>
      </c>
      <c r="D54" t="s">
        <v>22</v>
      </c>
      <c r="E54" s="1" t="s">
        <v>275</v>
      </c>
      <c r="F54" s="1" t="s">
        <v>2498</v>
      </c>
      <c r="G54" s="1" t="s">
        <v>2497</v>
      </c>
      <c r="H54" t="s">
        <v>75</v>
      </c>
      <c r="J54" t="s">
        <v>276</v>
      </c>
      <c r="K54" t="s">
        <v>277</v>
      </c>
      <c r="M54" t="s">
        <v>278</v>
      </c>
      <c r="T54" t="s">
        <v>20</v>
      </c>
      <c r="U54" t="s">
        <v>2496</v>
      </c>
      <c r="V54" s="1" t="s">
        <v>2495</v>
      </c>
      <c r="W54" t="s">
        <v>2494</v>
      </c>
      <c r="X54" s="3">
        <v>46057</v>
      </c>
      <c r="Z54" s="2">
        <v>45139</v>
      </c>
      <c r="AA54" s="2">
        <v>45134</v>
      </c>
      <c r="AB54" s="2">
        <v>45504</v>
      </c>
      <c r="AC54" t="s">
        <v>20</v>
      </c>
      <c r="AE54" t="s">
        <v>2493</v>
      </c>
      <c r="AJ54" t="s">
        <v>2493</v>
      </c>
      <c r="AO54" t="s">
        <v>1778</v>
      </c>
      <c r="AQ54" s="2">
        <v>45169</v>
      </c>
      <c r="AR54" s="2">
        <v>45161</v>
      </c>
      <c r="AS54" t="s">
        <v>20</v>
      </c>
      <c r="AU54" t="s">
        <v>2492</v>
      </c>
      <c r="AV54" t="s">
        <v>2424</v>
      </c>
      <c r="AW54" s="2">
        <v>45565</v>
      </c>
      <c r="AX54" s="2">
        <v>45519</v>
      </c>
      <c r="AY54" s="2">
        <v>45525</v>
      </c>
      <c r="AZ54" t="s">
        <v>1764</v>
      </c>
      <c r="BC54" s="2">
        <v>45700</v>
      </c>
      <c r="BF54" t="s">
        <v>1763</v>
      </c>
    </row>
    <row r="55" spans="1:58" ht="100">
      <c r="A55">
        <v>57</v>
      </c>
      <c r="B55">
        <v>59</v>
      </c>
      <c r="C55" s="1" t="s">
        <v>2491</v>
      </c>
      <c r="D55" t="s">
        <v>15</v>
      </c>
      <c r="E55" t="s">
        <v>363</v>
      </c>
      <c r="G55" s="1" t="s">
        <v>2490</v>
      </c>
      <c r="H55" t="s">
        <v>75</v>
      </c>
      <c r="J55" t="s">
        <v>364</v>
      </c>
      <c r="K55" t="s">
        <v>365</v>
      </c>
      <c r="L55" t="s">
        <v>366</v>
      </c>
      <c r="M55" t="s">
        <v>367</v>
      </c>
      <c r="S55" s="1" t="s">
        <v>2489</v>
      </c>
      <c r="U55" t="s">
        <v>2488</v>
      </c>
      <c r="V55" t="s">
        <v>2487</v>
      </c>
      <c r="W55" t="s">
        <v>2486</v>
      </c>
      <c r="X55" s="3">
        <v>46057</v>
      </c>
      <c r="Z55" s="2">
        <v>45145</v>
      </c>
      <c r="AA55" s="2">
        <v>45147</v>
      </c>
      <c r="AB55" s="2">
        <v>45510</v>
      </c>
      <c r="AC55" t="s">
        <v>20</v>
      </c>
      <c r="AE55" t="s">
        <v>2485</v>
      </c>
      <c r="AG55" t="s">
        <v>2485</v>
      </c>
      <c r="AJ55" t="s">
        <v>2484</v>
      </c>
      <c r="AO55" t="s">
        <v>1778</v>
      </c>
      <c r="AQ55" s="2">
        <v>45199</v>
      </c>
      <c r="AR55" s="2">
        <v>45153</v>
      </c>
      <c r="AS55" t="s">
        <v>20</v>
      </c>
      <c r="AU55" t="s">
        <v>2381</v>
      </c>
      <c r="AV55" t="s">
        <v>2424</v>
      </c>
      <c r="AW55" s="2">
        <v>45565</v>
      </c>
      <c r="AX55" s="3">
        <v>46248</v>
      </c>
      <c r="AY55" s="2">
        <v>45525</v>
      </c>
      <c r="AZ55" t="s">
        <v>1764</v>
      </c>
      <c r="BF55" t="s">
        <v>2483</v>
      </c>
    </row>
    <row r="56" spans="1:58" ht="87.5">
      <c r="A56">
        <v>61</v>
      </c>
      <c r="B56">
        <v>60</v>
      </c>
      <c r="C56" s="1" t="s">
        <v>2482</v>
      </c>
      <c r="D56" t="s">
        <v>22</v>
      </c>
      <c r="E56" t="s">
        <v>369</v>
      </c>
      <c r="G56" s="1" t="s">
        <v>2481</v>
      </c>
      <c r="H56" t="s">
        <v>370</v>
      </c>
      <c r="J56" t="s">
        <v>371</v>
      </c>
      <c r="K56" t="s">
        <v>372</v>
      </c>
      <c r="L56" t="s">
        <v>373</v>
      </c>
      <c r="M56" t="s">
        <v>374</v>
      </c>
      <c r="S56" t="s">
        <v>1849</v>
      </c>
      <c r="U56" s="1" t="s">
        <v>2480</v>
      </c>
      <c r="V56" t="s">
        <v>2479</v>
      </c>
      <c r="W56" t="s">
        <v>2478</v>
      </c>
      <c r="X56" s="3">
        <v>46057</v>
      </c>
      <c r="Z56" s="2">
        <v>45200</v>
      </c>
      <c r="AA56" s="2">
        <v>45167</v>
      </c>
      <c r="AB56" s="2">
        <v>45565</v>
      </c>
      <c r="AC56" t="s">
        <v>20</v>
      </c>
      <c r="AE56" t="s">
        <v>2477</v>
      </c>
      <c r="AJ56" t="s">
        <v>2476</v>
      </c>
      <c r="AO56" t="s">
        <v>1778</v>
      </c>
      <c r="AQ56" s="2">
        <v>45199</v>
      </c>
      <c r="AR56" s="2">
        <v>45170</v>
      </c>
      <c r="AS56" t="s">
        <v>20</v>
      </c>
      <c r="AU56" t="s">
        <v>2475</v>
      </c>
      <c r="AV56" t="s">
        <v>2155</v>
      </c>
      <c r="AW56" s="2">
        <v>45626</v>
      </c>
      <c r="AX56" s="3">
        <v>46311</v>
      </c>
      <c r="AY56" s="2">
        <v>45622</v>
      </c>
      <c r="AZ56" t="s">
        <v>1764</v>
      </c>
      <c r="BC56" t="s">
        <v>2474</v>
      </c>
      <c r="BF56" t="s">
        <v>2473</v>
      </c>
    </row>
    <row r="57" spans="1:58" ht="262.5">
      <c r="B57">
        <v>61</v>
      </c>
      <c r="C57" s="1" t="s">
        <v>2472</v>
      </c>
      <c r="D57" t="s">
        <v>15</v>
      </c>
      <c r="E57" t="s">
        <v>221</v>
      </c>
      <c r="F57" s="1" t="s">
        <v>2471</v>
      </c>
      <c r="G57" s="1" t="s">
        <v>2470</v>
      </c>
      <c r="H57" t="s">
        <v>222</v>
      </c>
      <c r="J57" t="s">
        <v>223</v>
      </c>
      <c r="K57" t="s">
        <v>224</v>
      </c>
      <c r="L57" t="s">
        <v>225</v>
      </c>
      <c r="M57" s="1" t="s">
        <v>226</v>
      </c>
      <c r="Q57" t="s">
        <v>2469</v>
      </c>
      <c r="R57" t="s">
        <v>2468</v>
      </c>
      <c r="T57" t="s">
        <v>20</v>
      </c>
      <c r="U57" t="s">
        <v>2467</v>
      </c>
      <c r="V57" s="1" t="s">
        <v>2466</v>
      </c>
      <c r="W57" t="s">
        <v>2465</v>
      </c>
      <c r="X57" s="2">
        <v>45691</v>
      </c>
      <c r="Z57" s="2">
        <v>45200</v>
      </c>
      <c r="AA57" s="2">
        <v>45170</v>
      </c>
      <c r="AB57" s="2">
        <v>45199</v>
      </c>
      <c r="AC57" t="s">
        <v>20</v>
      </c>
      <c r="AE57" t="s">
        <v>2464</v>
      </c>
      <c r="AJ57" t="s">
        <v>2464</v>
      </c>
      <c r="AO57" t="s">
        <v>1778</v>
      </c>
      <c r="AQ57" s="2">
        <v>45230</v>
      </c>
      <c r="AR57" s="2">
        <v>45174</v>
      </c>
      <c r="AS57" t="s">
        <v>20</v>
      </c>
      <c r="AY57" s="3">
        <v>46157</v>
      </c>
      <c r="AZ57" t="s">
        <v>1764</v>
      </c>
      <c r="BF57" t="s">
        <v>2463</v>
      </c>
    </row>
    <row r="58" spans="1:58" ht="87.5">
      <c r="B58">
        <v>62</v>
      </c>
      <c r="C58" s="1" t="s">
        <v>2462</v>
      </c>
      <c r="D58" t="s">
        <v>15</v>
      </c>
      <c r="E58" t="s">
        <v>376</v>
      </c>
      <c r="G58" s="1" t="s">
        <v>2461</v>
      </c>
      <c r="H58" t="s">
        <v>16</v>
      </c>
      <c r="J58" t="s">
        <v>377</v>
      </c>
      <c r="K58" t="s">
        <v>378</v>
      </c>
      <c r="M58" t="s">
        <v>379</v>
      </c>
      <c r="S58" t="s">
        <v>20</v>
      </c>
      <c r="U58" t="s">
        <v>20</v>
      </c>
      <c r="V58" t="s">
        <v>2460</v>
      </c>
      <c r="W58" t="s">
        <v>2459</v>
      </c>
      <c r="X58" s="2">
        <v>45691</v>
      </c>
      <c r="Z58" s="2">
        <v>45200</v>
      </c>
      <c r="AA58" s="2">
        <v>45191</v>
      </c>
      <c r="AB58" s="2">
        <v>45565</v>
      </c>
      <c r="AC58" t="s">
        <v>20</v>
      </c>
      <c r="AE58" t="s">
        <v>2458</v>
      </c>
      <c r="AJ58" t="s">
        <v>2457</v>
      </c>
      <c r="AO58" t="s">
        <v>1778</v>
      </c>
      <c r="AQ58" s="2">
        <v>45230</v>
      </c>
      <c r="AR58" s="2">
        <v>45230</v>
      </c>
      <c r="AS58" t="s">
        <v>20</v>
      </c>
      <c r="AU58" t="s">
        <v>2456</v>
      </c>
      <c r="AV58" t="s">
        <v>2155</v>
      </c>
      <c r="AW58" s="2">
        <v>45626</v>
      </c>
      <c r="AX58" s="3">
        <v>46345</v>
      </c>
      <c r="AY58" s="2">
        <v>45622</v>
      </c>
      <c r="AZ58" t="s">
        <v>1764</v>
      </c>
      <c r="BF58" t="s">
        <v>1763</v>
      </c>
    </row>
    <row r="59" spans="1:58" ht="125">
      <c r="A59">
        <v>64</v>
      </c>
      <c r="B59">
        <v>63</v>
      </c>
      <c r="C59" s="1" t="s">
        <v>2455</v>
      </c>
      <c r="D59" t="s">
        <v>15</v>
      </c>
      <c r="E59" t="s">
        <v>387</v>
      </c>
      <c r="G59" s="1" t="s">
        <v>2454</v>
      </c>
      <c r="H59" t="s">
        <v>222</v>
      </c>
      <c r="J59" t="s">
        <v>388</v>
      </c>
      <c r="K59" t="s">
        <v>389</v>
      </c>
      <c r="L59" t="s">
        <v>390</v>
      </c>
      <c r="M59" s="1" t="s">
        <v>391</v>
      </c>
      <c r="S59" t="s">
        <v>2235</v>
      </c>
      <c r="U59" t="s">
        <v>2453</v>
      </c>
      <c r="W59" t="s">
        <v>2447</v>
      </c>
      <c r="X59" s="2">
        <v>45688</v>
      </c>
      <c r="Z59" s="2">
        <v>45231</v>
      </c>
      <c r="AA59" s="2">
        <v>45201</v>
      </c>
      <c r="AB59" s="2">
        <v>45596</v>
      </c>
      <c r="AC59" t="s">
        <v>20</v>
      </c>
      <c r="AE59" t="s">
        <v>2446</v>
      </c>
      <c r="AJ59" t="s">
        <v>2445</v>
      </c>
      <c r="AO59" t="s">
        <v>1778</v>
      </c>
      <c r="AQ59" s="2">
        <v>45260</v>
      </c>
      <c r="AR59" s="2">
        <v>45204</v>
      </c>
      <c r="AS59" t="s">
        <v>20</v>
      </c>
      <c r="AU59">
        <v>55000</v>
      </c>
      <c r="AV59" s="2">
        <v>45602</v>
      </c>
      <c r="AW59" s="2">
        <v>45626</v>
      </c>
      <c r="AX59" s="3">
        <v>46333</v>
      </c>
      <c r="AY59" s="2">
        <v>45622</v>
      </c>
      <c r="AZ59" t="s">
        <v>1764</v>
      </c>
      <c r="BF59" t="s">
        <v>2452</v>
      </c>
    </row>
    <row r="60" spans="1:58" ht="275">
      <c r="A60">
        <v>56</v>
      </c>
      <c r="B60">
        <v>64</v>
      </c>
      <c r="C60" s="1" t="s">
        <v>2451</v>
      </c>
      <c r="D60" t="s">
        <v>22</v>
      </c>
      <c r="E60" t="s">
        <v>355</v>
      </c>
      <c r="G60" s="1" t="s">
        <v>2450</v>
      </c>
      <c r="H60" t="s">
        <v>16</v>
      </c>
      <c r="J60" t="s">
        <v>356</v>
      </c>
      <c r="K60" t="s">
        <v>357</v>
      </c>
      <c r="L60" s="1" t="s">
        <v>358</v>
      </c>
      <c r="M60" t="s">
        <v>359</v>
      </c>
      <c r="O60" t="s">
        <v>360</v>
      </c>
      <c r="P60" t="s">
        <v>361</v>
      </c>
      <c r="S60" t="s">
        <v>1849</v>
      </c>
      <c r="U60" s="1" t="s">
        <v>2449</v>
      </c>
      <c r="V60" t="s">
        <v>2448</v>
      </c>
      <c r="W60" t="s">
        <v>2447</v>
      </c>
      <c r="X60" s="2">
        <v>45688</v>
      </c>
      <c r="Z60" s="2">
        <v>45200</v>
      </c>
      <c r="AA60" s="2">
        <v>45201</v>
      </c>
      <c r="AB60" s="2">
        <v>45565</v>
      </c>
      <c r="AC60" t="s">
        <v>20</v>
      </c>
      <c r="AE60" t="s">
        <v>2446</v>
      </c>
      <c r="AJ60" t="s">
        <v>2445</v>
      </c>
      <c r="AO60" t="s">
        <v>1778</v>
      </c>
      <c r="AQ60" s="2">
        <v>45260</v>
      </c>
      <c r="AR60" s="2">
        <v>45202</v>
      </c>
      <c r="AS60" t="s">
        <v>20</v>
      </c>
      <c r="AU60" t="s">
        <v>2444</v>
      </c>
      <c r="AV60" t="s">
        <v>2443</v>
      </c>
      <c r="AW60" s="2">
        <v>45626</v>
      </c>
      <c r="AX60" s="3">
        <v>46374</v>
      </c>
      <c r="AY60" s="2">
        <v>45653</v>
      </c>
      <c r="AZ60" t="s">
        <v>1764</v>
      </c>
      <c r="BF60" t="s">
        <v>2442</v>
      </c>
    </row>
    <row r="61" spans="1:58" ht="87.5">
      <c r="B61">
        <v>65</v>
      </c>
      <c r="C61" s="1" t="s">
        <v>2441</v>
      </c>
      <c r="D61" t="s">
        <v>15</v>
      </c>
      <c r="E61" t="s">
        <v>393</v>
      </c>
      <c r="G61" s="1" t="s">
        <v>2440</v>
      </c>
      <c r="H61" t="s">
        <v>63</v>
      </c>
      <c r="J61" t="s">
        <v>394</v>
      </c>
      <c r="K61" t="s">
        <v>395</v>
      </c>
      <c r="O61" t="s">
        <v>396</v>
      </c>
      <c r="P61" s="1" t="s">
        <v>397</v>
      </c>
      <c r="S61" t="s">
        <v>20</v>
      </c>
      <c r="U61" t="s">
        <v>20</v>
      </c>
      <c r="V61" t="s">
        <v>2439</v>
      </c>
      <c r="W61" t="s">
        <v>2438</v>
      </c>
      <c r="X61" s="2">
        <v>45862</v>
      </c>
      <c r="Z61" s="2">
        <v>45245</v>
      </c>
      <c r="AA61" s="2">
        <v>45250</v>
      </c>
      <c r="AB61" s="2">
        <v>45610</v>
      </c>
      <c r="AC61" t="s">
        <v>20</v>
      </c>
      <c r="AE61" t="s">
        <v>2437</v>
      </c>
      <c r="AJ61" t="s">
        <v>2436</v>
      </c>
      <c r="AO61" t="s">
        <v>1778</v>
      </c>
      <c r="AQ61" s="1" t="s">
        <v>2435</v>
      </c>
      <c r="AR61" s="2">
        <v>45358</v>
      </c>
      <c r="AS61" t="s">
        <v>20</v>
      </c>
      <c r="AU61">
        <v>55000</v>
      </c>
      <c r="AV61" t="s">
        <v>2434</v>
      </c>
      <c r="AW61" s="2">
        <v>45657</v>
      </c>
      <c r="AY61" s="2">
        <v>45806</v>
      </c>
      <c r="BF61" t="s">
        <v>2433</v>
      </c>
    </row>
    <row r="62" spans="1:58" ht="137.5">
      <c r="A62">
        <v>43</v>
      </c>
      <c r="B62">
        <v>66</v>
      </c>
      <c r="C62" s="1" t="s">
        <v>2432</v>
      </c>
      <c r="D62" t="s">
        <v>15</v>
      </c>
      <c r="E62" t="s">
        <v>270</v>
      </c>
      <c r="F62" s="1" t="s">
        <v>2431</v>
      </c>
      <c r="G62" s="1" t="s">
        <v>2430</v>
      </c>
      <c r="H62" t="s">
        <v>159</v>
      </c>
      <c r="J62" t="s">
        <v>271</v>
      </c>
      <c r="K62" t="s">
        <v>272</v>
      </c>
      <c r="M62" t="s">
        <v>273</v>
      </c>
      <c r="S62" t="s">
        <v>1849</v>
      </c>
      <c r="T62" t="s">
        <v>20</v>
      </c>
      <c r="U62" s="1" t="s">
        <v>2429</v>
      </c>
      <c r="V62" t="s">
        <v>2428</v>
      </c>
      <c r="W62" t="s">
        <v>1779</v>
      </c>
      <c r="X62" s="3">
        <v>46174</v>
      </c>
      <c r="Z62" s="2">
        <v>45139</v>
      </c>
      <c r="AA62" s="2">
        <v>45257</v>
      </c>
      <c r="AB62" s="2">
        <v>45504</v>
      </c>
      <c r="AC62" t="s">
        <v>20</v>
      </c>
      <c r="AE62" t="s">
        <v>2427</v>
      </c>
      <c r="AJ62" t="s">
        <v>2426</v>
      </c>
      <c r="AO62" t="s">
        <v>1778</v>
      </c>
      <c r="AQ62" s="1" t="s">
        <v>2425</v>
      </c>
      <c r="AR62" s="2">
        <v>45373</v>
      </c>
      <c r="AS62" t="s">
        <v>20</v>
      </c>
      <c r="AU62" t="s">
        <v>2381</v>
      </c>
      <c r="AV62" t="s">
        <v>2424</v>
      </c>
      <c r="AW62" t="s">
        <v>2423</v>
      </c>
      <c r="AX62" s="2">
        <v>45607</v>
      </c>
      <c r="AY62" s="2">
        <v>45622</v>
      </c>
      <c r="BF62" t="s">
        <v>1763</v>
      </c>
    </row>
    <row r="63" spans="1:58" ht="87.5">
      <c r="A63">
        <v>63</v>
      </c>
      <c r="B63">
        <v>67</v>
      </c>
      <c r="C63" s="1" t="s">
        <v>2422</v>
      </c>
      <c r="D63" t="s">
        <v>15</v>
      </c>
      <c r="E63" s="1" t="s">
        <v>381</v>
      </c>
      <c r="G63" s="1" t="s">
        <v>2421</v>
      </c>
      <c r="H63" t="s">
        <v>85</v>
      </c>
      <c r="J63" t="s">
        <v>382</v>
      </c>
      <c r="K63" t="s">
        <v>383</v>
      </c>
      <c r="L63" t="s">
        <v>384</v>
      </c>
      <c r="M63" t="s">
        <v>385</v>
      </c>
      <c r="S63" t="s">
        <v>1849</v>
      </c>
      <c r="U63" t="s">
        <v>2420</v>
      </c>
      <c r="V63" t="s">
        <v>2419</v>
      </c>
      <c r="W63" t="s">
        <v>2418</v>
      </c>
      <c r="X63" s="3">
        <v>46057</v>
      </c>
      <c r="Z63" s="2">
        <v>45261</v>
      </c>
      <c r="AA63" s="2">
        <v>45266</v>
      </c>
      <c r="AB63" s="2">
        <v>45626</v>
      </c>
      <c r="AC63" t="s">
        <v>20</v>
      </c>
      <c r="AE63" t="s">
        <v>2417</v>
      </c>
      <c r="AJ63" t="s">
        <v>2416</v>
      </c>
      <c r="AO63" t="s">
        <v>1778</v>
      </c>
      <c r="AQ63" s="2">
        <v>45306</v>
      </c>
      <c r="AR63" s="2">
        <v>45300</v>
      </c>
      <c r="AS63" t="s">
        <v>20</v>
      </c>
      <c r="AU63">
        <v>55000</v>
      </c>
      <c r="AV63" s="2">
        <v>45632</v>
      </c>
      <c r="AW63" s="2">
        <v>45688</v>
      </c>
      <c r="AX63" s="3">
        <v>46367</v>
      </c>
      <c r="AY63" s="2">
        <v>45653</v>
      </c>
      <c r="AZ63" t="s">
        <v>1764</v>
      </c>
      <c r="BF63" t="s">
        <v>2415</v>
      </c>
    </row>
    <row r="64" spans="1:58" ht="162.5">
      <c r="B64">
        <v>68</v>
      </c>
      <c r="C64" s="1" t="s">
        <v>2414</v>
      </c>
      <c r="D64" t="s">
        <v>22</v>
      </c>
      <c r="E64" t="s">
        <v>399</v>
      </c>
      <c r="G64" s="1" t="s">
        <v>2413</v>
      </c>
      <c r="H64" t="s">
        <v>75</v>
      </c>
      <c r="J64" t="s">
        <v>400</v>
      </c>
      <c r="K64" t="s">
        <v>401</v>
      </c>
      <c r="M64" s="1" t="s">
        <v>402</v>
      </c>
      <c r="S64" t="s">
        <v>20</v>
      </c>
      <c r="U64" t="s">
        <v>2412</v>
      </c>
      <c r="W64" t="s">
        <v>2411</v>
      </c>
      <c r="X64" s="2">
        <v>46016</v>
      </c>
      <c r="Z64" s="2">
        <v>45292</v>
      </c>
      <c r="AA64" s="2">
        <v>45278</v>
      </c>
      <c r="AB64" s="2">
        <v>45657</v>
      </c>
      <c r="AC64" t="s">
        <v>20</v>
      </c>
      <c r="AE64" t="s">
        <v>2410</v>
      </c>
      <c r="AJ64" t="s">
        <v>2409</v>
      </c>
      <c r="AO64" t="s">
        <v>1778</v>
      </c>
      <c r="AQ64" s="2">
        <v>45322</v>
      </c>
      <c r="AR64" s="1" t="s">
        <v>2408</v>
      </c>
      <c r="AS64" t="s">
        <v>20</v>
      </c>
      <c r="AU64">
        <v>55000</v>
      </c>
      <c r="AV64" s="2">
        <v>45688</v>
      </c>
      <c r="AW64" s="2">
        <v>45716</v>
      </c>
      <c r="AY64" s="3">
        <v>46157</v>
      </c>
    </row>
    <row r="65" spans="1:58" ht="250">
      <c r="B65">
        <v>69</v>
      </c>
      <c r="C65" s="1" t="s">
        <v>2407</v>
      </c>
      <c r="D65" t="s">
        <v>15</v>
      </c>
      <c r="E65" t="s">
        <v>228</v>
      </c>
      <c r="F65" s="1" t="s">
        <v>2406</v>
      </c>
      <c r="G65" s="1" t="s">
        <v>2405</v>
      </c>
      <c r="H65" t="s">
        <v>63</v>
      </c>
      <c r="J65" t="s">
        <v>229</v>
      </c>
      <c r="K65" t="s">
        <v>230</v>
      </c>
      <c r="M65" t="s">
        <v>231</v>
      </c>
      <c r="Q65" t="s">
        <v>2404</v>
      </c>
      <c r="R65" t="s">
        <v>2403</v>
      </c>
      <c r="S65" t="s">
        <v>1849</v>
      </c>
      <c r="T65" t="s">
        <v>20</v>
      </c>
      <c r="U65" s="1" t="s">
        <v>2402</v>
      </c>
      <c r="V65" s="1" t="s">
        <v>2401</v>
      </c>
      <c r="W65" s="1" t="s">
        <v>2400</v>
      </c>
      <c r="X65" s="3">
        <v>46268</v>
      </c>
      <c r="Z65" s="2">
        <v>45292</v>
      </c>
      <c r="AA65" s="2">
        <v>45285</v>
      </c>
      <c r="AB65" s="2">
        <v>45657</v>
      </c>
      <c r="AC65" t="s">
        <v>20</v>
      </c>
      <c r="AE65" t="s">
        <v>2399</v>
      </c>
      <c r="AJ65" t="s">
        <v>2384</v>
      </c>
      <c r="AO65" t="s">
        <v>1778</v>
      </c>
      <c r="AQ65" s="2">
        <v>45322</v>
      </c>
      <c r="AR65" s="2">
        <v>45328</v>
      </c>
      <c r="AS65" t="s">
        <v>20</v>
      </c>
      <c r="AU65" t="s">
        <v>1776</v>
      </c>
      <c r="AV65" s="2">
        <v>45691</v>
      </c>
      <c r="AW65" s="2">
        <v>45716</v>
      </c>
      <c r="AX65" t="s">
        <v>2398</v>
      </c>
      <c r="AY65" s="2">
        <v>45806</v>
      </c>
      <c r="BF65" t="s">
        <v>1763</v>
      </c>
    </row>
    <row r="66" spans="1:58" ht="125">
      <c r="B66">
        <v>70</v>
      </c>
      <c r="C66" s="1" t="s">
        <v>2397</v>
      </c>
      <c r="D66" t="s">
        <v>15</v>
      </c>
      <c r="E66" t="s">
        <v>405</v>
      </c>
      <c r="G66" s="1" t="s">
        <v>2396</v>
      </c>
      <c r="H66" t="s">
        <v>189</v>
      </c>
      <c r="J66" t="s">
        <v>406</v>
      </c>
      <c r="K66" t="s">
        <v>407</v>
      </c>
      <c r="L66" t="s">
        <v>408</v>
      </c>
      <c r="M66" t="s">
        <v>409</v>
      </c>
      <c r="S66" t="s">
        <v>1849</v>
      </c>
      <c r="U66" s="1" t="s">
        <v>2395</v>
      </c>
      <c r="V66" t="s">
        <v>2394</v>
      </c>
      <c r="W66" t="s">
        <v>2393</v>
      </c>
      <c r="X66" s="3">
        <v>46057</v>
      </c>
      <c r="Z66" s="2">
        <v>45292</v>
      </c>
      <c r="AA66" s="2">
        <v>45288</v>
      </c>
      <c r="AB66" s="2">
        <v>45657</v>
      </c>
      <c r="AC66" t="s">
        <v>20</v>
      </c>
      <c r="AE66" t="s">
        <v>2392</v>
      </c>
      <c r="AJ66" t="s">
        <v>2391</v>
      </c>
      <c r="AO66" t="s">
        <v>1778</v>
      </c>
      <c r="AQ66" s="2">
        <v>45337</v>
      </c>
      <c r="AR66" s="2">
        <v>45306</v>
      </c>
      <c r="AS66" t="s">
        <v>20</v>
      </c>
      <c r="AU66" t="s">
        <v>2381</v>
      </c>
      <c r="AV66" t="s">
        <v>2390</v>
      </c>
      <c r="AW66" s="2">
        <v>45716</v>
      </c>
      <c r="AX66" s="3">
        <v>46042</v>
      </c>
      <c r="AY66" s="2">
        <v>45694</v>
      </c>
      <c r="BF66" t="s">
        <v>2389</v>
      </c>
    </row>
    <row r="67" spans="1:58" ht="187.5">
      <c r="A67">
        <v>65</v>
      </c>
      <c r="B67">
        <v>71</v>
      </c>
      <c r="C67" s="1" t="s">
        <v>2388</v>
      </c>
      <c r="D67" t="s">
        <v>411</v>
      </c>
      <c r="E67" s="1" t="s">
        <v>412</v>
      </c>
      <c r="G67" s="1" t="s">
        <v>2387</v>
      </c>
      <c r="H67" t="s">
        <v>75</v>
      </c>
      <c r="J67" t="s">
        <v>413</v>
      </c>
      <c r="K67" t="s">
        <v>414</v>
      </c>
      <c r="L67" t="s">
        <v>415</v>
      </c>
      <c r="M67" t="s">
        <v>416</v>
      </c>
      <c r="S67" t="s">
        <v>1849</v>
      </c>
      <c r="U67" t="s">
        <v>2386</v>
      </c>
      <c r="V67" s="1" t="s">
        <v>2385</v>
      </c>
      <c r="W67" t="s">
        <v>2384</v>
      </c>
      <c r="X67" s="3">
        <v>46164</v>
      </c>
      <c r="Z67" s="2">
        <v>45295</v>
      </c>
      <c r="AA67" s="2">
        <v>45301</v>
      </c>
      <c r="AB67" s="2">
        <v>45660</v>
      </c>
      <c r="AC67" t="s">
        <v>20</v>
      </c>
      <c r="AE67" t="s">
        <v>2383</v>
      </c>
      <c r="AJ67" t="s">
        <v>2382</v>
      </c>
      <c r="AO67" t="s">
        <v>1778</v>
      </c>
      <c r="AQ67" s="2">
        <v>45351</v>
      </c>
      <c r="AR67" s="2">
        <v>45303</v>
      </c>
      <c r="AS67" t="s">
        <v>20</v>
      </c>
      <c r="AU67" t="s">
        <v>2381</v>
      </c>
      <c r="AV67" s="2">
        <v>45685</v>
      </c>
      <c r="AW67" s="2">
        <v>45716</v>
      </c>
      <c r="AY67" s="3">
        <v>46157</v>
      </c>
    </row>
    <row r="68" spans="1:58" ht="112.5">
      <c r="B68">
        <v>72</v>
      </c>
      <c r="C68" s="1" t="s">
        <v>2380</v>
      </c>
      <c r="D68" t="s">
        <v>22</v>
      </c>
      <c r="E68" t="s">
        <v>420</v>
      </c>
      <c r="G68" s="1" t="s">
        <v>2379</v>
      </c>
      <c r="H68" t="s">
        <v>222</v>
      </c>
      <c r="J68" t="s">
        <v>421</v>
      </c>
      <c r="K68" t="s">
        <v>422</v>
      </c>
      <c r="M68" t="s">
        <v>423</v>
      </c>
      <c r="S68" s="1" t="s">
        <v>2378</v>
      </c>
      <c r="U68" t="s">
        <v>2377</v>
      </c>
      <c r="V68" t="s">
        <v>2303</v>
      </c>
      <c r="W68" t="s">
        <v>2372</v>
      </c>
      <c r="X68" s="3">
        <v>46066</v>
      </c>
      <c r="Z68" s="2">
        <v>45323</v>
      </c>
      <c r="AA68" s="2">
        <v>45320</v>
      </c>
      <c r="AB68" s="2">
        <v>45688</v>
      </c>
      <c r="AC68" t="s">
        <v>20</v>
      </c>
      <c r="AE68" t="s">
        <v>2371</v>
      </c>
      <c r="AJ68" t="s">
        <v>2376</v>
      </c>
      <c r="AO68" t="s">
        <v>1778</v>
      </c>
      <c r="AQ68" s="2">
        <v>45351</v>
      </c>
      <c r="AR68" s="2">
        <v>45350</v>
      </c>
      <c r="AS68" t="s">
        <v>20</v>
      </c>
      <c r="AU68" t="s">
        <v>2352</v>
      </c>
      <c r="AY68" s="3">
        <v>46157</v>
      </c>
      <c r="BF68" t="s">
        <v>1763</v>
      </c>
    </row>
    <row r="69" spans="1:58" ht="125">
      <c r="B69">
        <v>73</v>
      </c>
      <c r="C69" s="1" t="s">
        <v>2375</v>
      </c>
      <c r="D69" t="s">
        <v>451</v>
      </c>
      <c r="E69" t="s">
        <v>452</v>
      </c>
      <c r="G69" s="1" t="s">
        <v>2374</v>
      </c>
      <c r="H69" t="s">
        <v>31</v>
      </c>
      <c r="J69" t="s">
        <v>453</v>
      </c>
      <c r="K69" t="s">
        <v>454</v>
      </c>
      <c r="M69" s="1" t="s">
        <v>455</v>
      </c>
      <c r="S69" t="s">
        <v>20</v>
      </c>
      <c r="U69" t="s">
        <v>20</v>
      </c>
      <c r="V69" t="s">
        <v>2373</v>
      </c>
      <c r="W69" t="s">
        <v>2372</v>
      </c>
      <c r="X69" s="3">
        <v>46070</v>
      </c>
      <c r="Z69" s="2">
        <v>45323</v>
      </c>
      <c r="AA69" s="2">
        <v>45320</v>
      </c>
      <c r="AB69" s="2">
        <v>45688</v>
      </c>
      <c r="AC69" t="s">
        <v>20</v>
      </c>
      <c r="AE69" t="s">
        <v>2371</v>
      </c>
      <c r="AJ69" s="1" t="s">
        <v>2370</v>
      </c>
      <c r="AO69" t="s">
        <v>1778</v>
      </c>
      <c r="AQ69" s="2">
        <v>45351</v>
      </c>
      <c r="AR69" s="2">
        <v>45348</v>
      </c>
      <c r="AS69" t="s">
        <v>20</v>
      </c>
      <c r="AU69" t="s">
        <v>2369</v>
      </c>
      <c r="AV69" s="2">
        <v>45716</v>
      </c>
      <c r="AW69" s="2">
        <v>45747</v>
      </c>
      <c r="AY69" s="3">
        <v>46157</v>
      </c>
      <c r="AZ69" t="s">
        <v>1764</v>
      </c>
      <c r="BF69" t="s">
        <v>2368</v>
      </c>
    </row>
    <row r="70" spans="1:58" ht="112.5">
      <c r="A70">
        <v>67</v>
      </c>
      <c r="B70">
        <v>74</v>
      </c>
      <c r="C70" s="1" t="s">
        <v>2367</v>
      </c>
      <c r="D70" t="s">
        <v>457</v>
      </c>
      <c r="E70" t="s">
        <v>458</v>
      </c>
      <c r="G70" s="1" t="s">
        <v>2366</v>
      </c>
      <c r="H70" t="s">
        <v>114</v>
      </c>
      <c r="J70" t="s">
        <v>459</v>
      </c>
      <c r="K70" t="s">
        <v>460</v>
      </c>
      <c r="L70" t="s">
        <v>461</v>
      </c>
      <c r="M70" t="s">
        <v>462</v>
      </c>
      <c r="S70" t="s">
        <v>1849</v>
      </c>
      <c r="U70" t="s">
        <v>2365</v>
      </c>
      <c r="V70" t="s">
        <v>2364</v>
      </c>
      <c r="W70" t="s">
        <v>2355</v>
      </c>
      <c r="X70" s="2">
        <v>45705</v>
      </c>
      <c r="Z70" s="2">
        <v>45336</v>
      </c>
      <c r="AA70" s="2">
        <v>45337</v>
      </c>
      <c r="AB70" s="2">
        <v>45701</v>
      </c>
      <c r="AC70" t="s">
        <v>20</v>
      </c>
      <c r="AE70" t="s">
        <v>2363</v>
      </c>
      <c r="AJ70" t="s">
        <v>2362</v>
      </c>
      <c r="AO70" t="s">
        <v>1778</v>
      </c>
      <c r="AQ70" s="2">
        <v>45382</v>
      </c>
      <c r="AR70" s="2">
        <v>45380</v>
      </c>
      <c r="AS70" t="s">
        <v>20</v>
      </c>
      <c r="AY70" s="3">
        <v>46157</v>
      </c>
      <c r="AZ70" t="s">
        <v>1764</v>
      </c>
      <c r="BF70" t="s">
        <v>2361</v>
      </c>
    </row>
    <row r="71" spans="1:58" ht="200">
      <c r="B71">
        <v>75</v>
      </c>
      <c r="C71" s="1" t="s">
        <v>2360</v>
      </c>
      <c r="D71" t="s">
        <v>15</v>
      </c>
      <c r="E71" t="s">
        <v>436</v>
      </c>
      <c r="G71" s="1" t="s">
        <v>2359</v>
      </c>
      <c r="H71" t="s">
        <v>85</v>
      </c>
      <c r="J71" t="s">
        <v>437</v>
      </c>
      <c r="K71" t="s">
        <v>438</v>
      </c>
      <c r="M71" t="s">
        <v>439</v>
      </c>
      <c r="S71" s="1" t="s">
        <v>2358</v>
      </c>
      <c r="U71" t="s">
        <v>2357</v>
      </c>
      <c r="V71" s="1" t="s">
        <v>2356</v>
      </c>
      <c r="W71" t="s">
        <v>2355</v>
      </c>
      <c r="X71" s="3">
        <v>46172</v>
      </c>
      <c r="Z71" s="2">
        <v>45336</v>
      </c>
      <c r="AA71" s="2">
        <v>45348</v>
      </c>
      <c r="AB71" s="2">
        <v>45701</v>
      </c>
      <c r="AC71" t="s">
        <v>20</v>
      </c>
      <c r="AE71" t="s">
        <v>2354</v>
      </c>
      <c r="AJ71" t="s">
        <v>2353</v>
      </c>
      <c r="AO71" t="s">
        <v>1778</v>
      </c>
      <c r="AQ71" s="2">
        <v>45382</v>
      </c>
      <c r="AR71" s="2">
        <v>45356</v>
      </c>
      <c r="AS71" t="s">
        <v>20</v>
      </c>
      <c r="AU71" t="s">
        <v>2352</v>
      </c>
      <c r="AY71" s="3">
        <v>46185</v>
      </c>
      <c r="AZ71" t="s">
        <v>1764</v>
      </c>
      <c r="BF71" t="s">
        <v>2351</v>
      </c>
    </row>
    <row r="72" spans="1:58" ht="237.5">
      <c r="B72">
        <v>76</v>
      </c>
      <c r="C72" s="1" t="s">
        <v>2350</v>
      </c>
      <c r="D72" t="s">
        <v>15</v>
      </c>
      <c r="E72" t="s">
        <v>429</v>
      </c>
      <c r="G72" s="1" t="s">
        <v>2349</v>
      </c>
      <c r="H72" t="s">
        <v>50</v>
      </c>
      <c r="J72" t="s">
        <v>430</v>
      </c>
      <c r="K72" t="s">
        <v>431</v>
      </c>
      <c r="M72" t="s">
        <v>432</v>
      </c>
      <c r="S72" t="s">
        <v>1849</v>
      </c>
      <c r="U72" t="s">
        <v>2348</v>
      </c>
      <c r="V72" t="s">
        <v>2303</v>
      </c>
      <c r="W72" s="1" t="s">
        <v>2347</v>
      </c>
      <c r="X72" s="3">
        <v>46182</v>
      </c>
      <c r="Z72" s="2">
        <v>45352</v>
      </c>
      <c r="AA72" s="2">
        <v>45355</v>
      </c>
      <c r="AB72" s="2">
        <v>45716</v>
      </c>
      <c r="AC72" t="s">
        <v>20</v>
      </c>
      <c r="AE72" t="s">
        <v>2340</v>
      </c>
      <c r="AH72" s="1" t="s">
        <v>2346</v>
      </c>
      <c r="AJ72" s="1" t="s">
        <v>2345</v>
      </c>
      <c r="AO72" t="s">
        <v>1778</v>
      </c>
      <c r="AQ72" s="2">
        <v>45412</v>
      </c>
      <c r="AR72" s="2">
        <v>45413</v>
      </c>
      <c r="AS72" t="s">
        <v>20</v>
      </c>
      <c r="AY72" s="3">
        <v>46164</v>
      </c>
      <c r="BF72" t="s">
        <v>2344</v>
      </c>
    </row>
    <row r="73" spans="1:58" ht="137.5">
      <c r="B73">
        <v>77</v>
      </c>
      <c r="C73" s="1" t="s">
        <v>2343</v>
      </c>
      <c r="D73" t="s">
        <v>22</v>
      </c>
      <c r="E73" t="s">
        <v>170</v>
      </c>
      <c r="G73" s="1" t="s">
        <v>2342</v>
      </c>
      <c r="H73" t="s">
        <v>16</v>
      </c>
      <c r="J73" t="s">
        <v>478</v>
      </c>
      <c r="K73" t="s">
        <v>479</v>
      </c>
      <c r="M73" t="s">
        <v>480</v>
      </c>
      <c r="O73" t="s">
        <v>481</v>
      </c>
      <c r="P73" t="s">
        <v>482</v>
      </c>
      <c r="S73" t="s">
        <v>20</v>
      </c>
      <c r="U73" t="s">
        <v>20</v>
      </c>
      <c r="W73" t="s">
        <v>2341</v>
      </c>
      <c r="X73" s="3">
        <v>46066</v>
      </c>
      <c r="Z73" s="2">
        <v>45383</v>
      </c>
      <c r="AA73" s="2">
        <v>45352</v>
      </c>
      <c r="AB73" s="2">
        <v>45747</v>
      </c>
      <c r="AC73" t="s">
        <v>20</v>
      </c>
      <c r="AE73" t="s">
        <v>2340</v>
      </c>
      <c r="AJ73" t="s">
        <v>2339</v>
      </c>
      <c r="AO73" t="s">
        <v>1778</v>
      </c>
      <c r="AQ73" s="2">
        <v>45412</v>
      </c>
      <c r="AR73" s="2">
        <v>45356</v>
      </c>
      <c r="AS73" t="s">
        <v>20</v>
      </c>
      <c r="AY73" s="3">
        <v>46185</v>
      </c>
      <c r="BE73" t="s">
        <v>2338</v>
      </c>
      <c r="BF73" t="s">
        <v>2337</v>
      </c>
    </row>
    <row r="74" spans="1:58" ht="162.5">
      <c r="A74">
        <v>70</v>
      </c>
      <c r="B74">
        <v>78</v>
      </c>
      <c r="C74" s="1" t="s">
        <v>2336</v>
      </c>
      <c r="D74" t="s">
        <v>15</v>
      </c>
      <c r="E74" t="s">
        <v>489</v>
      </c>
      <c r="G74" s="1" t="s">
        <v>2335</v>
      </c>
      <c r="H74" t="s">
        <v>44</v>
      </c>
      <c r="J74" t="s">
        <v>490</v>
      </c>
      <c r="L74" t="s">
        <v>491</v>
      </c>
      <c r="M74" t="s">
        <v>492</v>
      </c>
      <c r="S74" t="s">
        <v>2235</v>
      </c>
      <c r="U74" s="1" t="s">
        <v>2334</v>
      </c>
      <c r="V74" t="s">
        <v>2333</v>
      </c>
      <c r="W74" t="s">
        <v>2323</v>
      </c>
      <c r="X74" s="3">
        <v>46168</v>
      </c>
      <c r="Z74" s="2">
        <v>45413</v>
      </c>
      <c r="AA74" s="2">
        <v>45369</v>
      </c>
      <c r="AB74" s="2">
        <v>45777</v>
      </c>
      <c r="AC74" t="s">
        <v>20</v>
      </c>
      <c r="AE74" t="s">
        <v>2332</v>
      </c>
      <c r="AH74" t="s">
        <v>2331</v>
      </c>
      <c r="AJ74" t="s">
        <v>2330</v>
      </c>
      <c r="AO74" t="s">
        <v>1778</v>
      </c>
      <c r="AQ74" s="2">
        <v>45412</v>
      </c>
      <c r="AR74" s="2">
        <v>45382</v>
      </c>
      <c r="AS74" t="s">
        <v>20</v>
      </c>
      <c r="AY74" s="2">
        <v>45806</v>
      </c>
      <c r="BF74" t="s">
        <v>2329</v>
      </c>
    </row>
    <row r="75" spans="1:58" ht="112.5">
      <c r="A75">
        <v>69</v>
      </c>
      <c r="B75">
        <v>79</v>
      </c>
      <c r="C75" s="1" t="s">
        <v>2328</v>
      </c>
      <c r="D75" t="s">
        <v>411</v>
      </c>
      <c r="E75" t="s">
        <v>470</v>
      </c>
      <c r="G75" s="1" t="s">
        <v>2327</v>
      </c>
      <c r="H75" t="s">
        <v>471</v>
      </c>
      <c r="J75" t="s">
        <v>472</v>
      </c>
      <c r="K75" t="s">
        <v>473</v>
      </c>
      <c r="L75" t="s">
        <v>474</v>
      </c>
      <c r="M75" t="s">
        <v>475</v>
      </c>
      <c r="O75" t="s">
        <v>476</v>
      </c>
      <c r="P75" t="s">
        <v>477</v>
      </c>
      <c r="S75" s="1" t="s">
        <v>2326</v>
      </c>
      <c r="U75" t="s">
        <v>2325</v>
      </c>
      <c r="V75" t="s">
        <v>2324</v>
      </c>
      <c r="W75" t="s">
        <v>2323</v>
      </c>
      <c r="X75" s="3">
        <v>46105</v>
      </c>
      <c r="Z75" s="2">
        <v>45383</v>
      </c>
      <c r="AA75" s="2">
        <v>45377</v>
      </c>
      <c r="AB75" s="2">
        <v>45747</v>
      </c>
      <c r="AC75" t="s">
        <v>20</v>
      </c>
      <c r="AE75" t="s">
        <v>2322</v>
      </c>
      <c r="AJ75" t="s">
        <v>2321</v>
      </c>
      <c r="AO75" t="s">
        <v>1778</v>
      </c>
      <c r="AQ75" s="2">
        <v>45412</v>
      </c>
      <c r="AR75" s="2">
        <v>45412</v>
      </c>
      <c r="AS75" t="s">
        <v>20</v>
      </c>
      <c r="AY75" s="3">
        <v>46185</v>
      </c>
      <c r="AZ75" t="s">
        <v>1764</v>
      </c>
      <c r="BF75" t="s">
        <v>2320</v>
      </c>
    </row>
    <row r="76" spans="1:58" ht="100">
      <c r="A76">
        <v>71</v>
      </c>
      <c r="B76">
        <v>80</v>
      </c>
      <c r="C76" s="1" t="s">
        <v>2319</v>
      </c>
      <c r="D76" t="s">
        <v>15</v>
      </c>
      <c r="E76" s="1" t="s">
        <v>494</v>
      </c>
      <c r="G76" s="1" t="s">
        <v>2318</v>
      </c>
      <c r="H76" t="s">
        <v>240</v>
      </c>
      <c r="J76" t="s">
        <v>495</v>
      </c>
      <c r="K76" t="s">
        <v>496</v>
      </c>
      <c r="L76" t="s">
        <v>497</v>
      </c>
      <c r="M76" t="s">
        <v>498</v>
      </c>
      <c r="S76" t="s">
        <v>2235</v>
      </c>
      <c r="U76" t="s">
        <v>2317</v>
      </c>
      <c r="V76" t="s">
        <v>2316</v>
      </c>
      <c r="W76" t="s">
        <v>2315</v>
      </c>
      <c r="X76" s="3">
        <v>46165</v>
      </c>
      <c r="Z76" s="2">
        <v>45383</v>
      </c>
      <c r="AA76" s="2">
        <v>45383</v>
      </c>
      <c r="AB76" s="2">
        <v>45747</v>
      </c>
      <c r="AC76" t="s">
        <v>20</v>
      </c>
      <c r="AE76" t="s">
        <v>2314</v>
      </c>
      <c r="AJ76" t="s">
        <v>2313</v>
      </c>
      <c r="AO76" t="s">
        <v>1778</v>
      </c>
      <c r="AQ76" s="2">
        <v>45443</v>
      </c>
      <c r="AR76" s="2">
        <v>45384</v>
      </c>
      <c r="AS76" t="s">
        <v>20</v>
      </c>
      <c r="AY76" s="3">
        <v>46185</v>
      </c>
      <c r="AZ76" t="s">
        <v>1764</v>
      </c>
      <c r="BF76" t="s">
        <v>2312</v>
      </c>
    </row>
    <row r="77" spans="1:58" ht="200">
      <c r="B77">
        <v>81</v>
      </c>
      <c r="C77" s="1" t="s">
        <v>2311</v>
      </c>
      <c r="D77" t="s">
        <v>15</v>
      </c>
      <c r="E77" t="s">
        <v>425</v>
      </c>
      <c r="G77" s="1" t="s">
        <v>2310</v>
      </c>
      <c r="H77" t="s">
        <v>16</v>
      </c>
      <c r="J77" t="s">
        <v>426</v>
      </c>
      <c r="L77" t="s">
        <v>427</v>
      </c>
      <c r="M77" t="s">
        <v>428</v>
      </c>
      <c r="U77" t="s">
        <v>2309</v>
      </c>
      <c r="V77" s="1" t="s">
        <v>2308</v>
      </c>
      <c r="W77" t="s">
        <v>2307</v>
      </c>
      <c r="X77" s="3">
        <v>46165</v>
      </c>
      <c r="Z77" s="2">
        <v>45413</v>
      </c>
      <c r="AA77" s="2">
        <v>45390</v>
      </c>
      <c r="AB77" s="2">
        <v>45777</v>
      </c>
      <c r="AC77" t="s">
        <v>20</v>
      </c>
      <c r="AE77" t="s">
        <v>2301</v>
      </c>
      <c r="AJ77" t="s">
        <v>2300</v>
      </c>
      <c r="AO77" t="s">
        <v>1778</v>
      </c>
      <c r="AQ77" s="2">
        <v>45443</v>
      </c>
      <c r="AR77" s="2">
        <v>45427</v>
      </c>
      <c r="AS77" t="s">
        <v>20</v>
      </c>
      <c r="AY77" s="3">
        <v>46185</v>
      </c>
      <c r="BF77" t="s">
        <v>2306</v>
      </c>
    </row>
    <row r="78" spans="1:58" ht="125">
      <c r="B78">
        <v>82</v>
      </c>
      <c r="C78" s="1" t="s">
        <v>2305</v>
      </c>
      <c r="D78" t="s">
        <v>22</v>
      </c>
      <c r="E78" t="s">
        <v>483</v>
      </c>
      <c r="G78" s="1" t="s">
        <v>2304</v>
      </c>
      <c r="H78" t="s">
        <v>484</v>
      </c>
      <c r="J78" t="s">
        <v>485</v>
      </c>
      <c r="K78" t="s">
        <v>486</v>
      </c>
      <c r="M78" t="s">
        <v>487</v>
      </c>
      <c r="V78" t="s">
        <v>2303</v>
      </c>
      <c r="W78" t="s">
        <v>2302</v>
      </c>
      <c r="X78" s="3">
        <v>46093</v>
      </c>
      <c r="Z78" s="2">
        <v>45413</v>
      </c>
      <c r="AA78" s="2">
        <v>45390</v>
      </c>
      <c r="AB78" s="2">
        <v>45777</v>
      </c>
      <c r="AC78" t="s">
        <v>20</v>
      </c>
      <c r="AE78" t="s">
        <v>2301</v>
      </c>
      <c r="AJ78" t="s">
        <v>2300</v>
      </c>
      <c r="AO78" t="s">
        <v>1778</v>
      </c>
      <c r="AQ78" s="2">
        <v>45443</v>
      </c>
      <c r="AR78" s="2">
        <v>45443</v>
      </c>
      <c r="AS78" t="s">
        <v>20</v>
      </c>
      <c r="AY78" s="3">
        <v>46185</v>
      </c>
      <c r="BF78" t="s">
        <v>2299</v>
      </c>
    </row>
    <row r="79" spans="1:58" ht="175">
      <c r="A79">
        <v>74</v>
      </c>
      <c r="B79">
        <v>83</v>
      </c>
      <c r="C79" s="1" t="s">
        <v>2298</v>
      </c>
      <c r="D79" t="s">
        <v>22</v>
      </c>
      <c r="E79" t="s">
        <v>510</v>
      </c>
      <c r="G79" s="1" t="s">
        <v>2297</v>
      </c>
      <c r="H79" t="s">
        <v>471</v>
      </c>
      <c r="J79" t="s">
        <v>511</v>
      </c>
      <c r="K79" t="s">
        <v>512</v>
      </c>
      <c r="L79" t="s">
        <v>513</v>
      </c>
      <c r="M79" t="s">
        <v>514</v>
      </c>
      <c r="S79" t="s">
        <v>1849</v>
      </c>
      <c r="U79" s="1" t="s">
        <v>2296</v>
      </c>
      <c r="V79" t="s">
        <v>2295</v>
      </c>
      <c r="W79" t="s">
        <v>2287</v>
      </c>
      <c r="X79" s="3">
        <v>46066</v>
      </c>
      <c r="Z79" s="2">
        <v>45413</v>
      </c>
      <c r="AA79" s="2">
        <v>45399</v>
      </c>
      <c r="AB79" s="2">
        <v>45777</v>
      </c>
      <c r="AC79" t="s">
        <v>20</v>
      </c>
      <c r="AE79" t="s">
        <v>2294</v>
      </c>
      <c r="AH79" t="s">
        <v>2293</v>
      </c>
      <c r="AJ79" t="s">
        <v>2285</v>
      </c>
      <c r="AQ79" s="2">
        <v>45443</v>
      </c>
      <c r="AR79" s="2">
        <v>45413</v>
      </c>
      <c r="AS79" t="s">
        <v>20</v>
      </c>
      <c r="AY79" s="2">
        <v>45853</v>
      </c>
      <c r="BF79" t="s">
        <v>2292</v>
      </c>
    </row>
    <row r="80" spans="1:58" ht="112.5">
      <c r="A80">
        <v>72</v>
      </c>
      <c r="B80">
        <v>84</v>
      </c>
      <c r="C80" s="1" t="s">
        <v>2291</v>
      </c>
      <c r="D80" t="s">
        <v>22</v>
      </c>
      <c r="E80" t="s">
        <v>499</v>
      </c>
      <c r="G80" s="1" t="s">
        <v>2290</v>
      </c>
      <c r="H80" t="s">
        <v>31</v>
      </c>
      <c r="J80" t="s">
        <v>500</v>
      </c>
      <c r="K80" t="s">
        <v>501</v>
      </c>
      <c r="L80" t="s">
        <v>502</v>
      </c>
      <c r="M80" t="s">
        <v>503</v>
      </c>
      <c r="S80" t="s">
        <v>2235</v>
      </c>
      <c r="U80" t="s">
        <v>2289</v>
      </c>
      <c r="V80" t="s">
        <v>2288</v>
      </c>
      <c r="W80" t="s">
        <v>2287</v>
      </c>
      <c r="X80" s="3">
        <v>46059</v>
      </c>
      <c r="Z80" s="2">
        <v>45413</v>
      </c>
      <c r="AA80" s="2">
        <v>45401</v>
      </c>
      <c r="AB80" s="2">
        <v>45777</v>
      </c>
      <c r="AC80" t="s">
        <v>20</v>
      </c>
      <c r="AE80" t="s">
        <v>2286</v>
      </c>
      <c r="AJ80" t="s">
        <v>2285</v>
      </c>
      <c r="AQ80" s="2">
        <v>45443</v>
      </c>
      <c r="AR80" s="2">
        <v>45428</v>
      </c>
      <c r="AS80" t="s">
        <v>20</v>
      </c>
      <c r="AY80" s="2">
        <v>45806</v>
      </c>
      <c r="AZ80" t="s">
        <v>1764</v>
      </c>
      <c r="BF80" t="s">
        <v>2284</v>
      </c>
    </row>
    <row r="81" spans="1:58" ht="409.5">
      <c r="A81">
        <v>29</v>
      </c>
      <c r="B81">
        <v>85</v>
      </c>
      <c r="C81" s="1" t="s">
        <v>2283</v>
      </c>
      <c r="D81" t="s">
        <v>15</v>
      </c>
      <c r="E81" t="s">
        <v>505</v>
      </c>
      <c r="G81" s="1" t="s">
        <v>2282</v>
      </c>
      <c r="H81" t="s">
        <v>44</v>
      </c>
      <c r="J81" t="s">
        <v>506</v>
      </c>
      <c r="K81" t="s">
        <v>507</v>
      </c>
      <c r="L81" t="s">
        <v>508</v>
      </c>
      <c r="M81" t="s">
        <v>509</v>
      </c>
      <c r="Q81" t="s">
        <v>2281</v>
      </c>
      <c r="R81" t="s">
        <v>2280</v>
      </c>
      <c r="S81" s="1" t="s">
        <v>2279</v>
      </c>
      <c r="T81" t="s">
        <v>20</v>
      </c>
      <c r="U81" s="1" t="s">
        <v>2278</v>
      </c>
      <c r="V81" s="1" t="s">
        <v>2277</v>
      </c>
      <c r="W81" t="s">
        <v>2276</v>
      </c>
      <c r="X81" s="3">
        <v>46122</v>
      </c>
      <c r="Z81" s="2">
        <v>45443</v>
      </c>
      <c r="AA81" s="2">
        <v>45429</v>
      </c>
      <c r="AB81" s="2">
        <v>45807</v>
      </c>
      <c r="AC81" t="s">
        <v>20</v>
      </c>
      <c r="AE81" t="s">
        <v>2275</v>
      </c>
      <c r="AJ81" t="s">
        <v>2274</v>
      </c>
      <c r="AQ81" s="2">
        <v>45473</v>
      </c>
      <c r="AR81" s="2">
        <v>45471</v>
      </c>
      <c r="AS81" t="s">
        <v>20</v>
      </c>
      <c r="AY81" s="2">
        <v>45853</v>
      </c>
      <c r="AZ81" t="s">
        <v>1764</v>
      </c>
      <c r="BF81" t="s">
        <v>2273</v>
      </c>
    </row>
    <row r="82" spans="1:58" ht="100">
      <c r="B82">
        <v>86</v>
      </c>
      <c r="C82" s="1" t="s">
        <v>2272</v>
      </c>
      <c r="D82" t="s">
        <v>22</v>
      </c>
      <c r="E82" t="s">
        <v>515</v>
      </c>
      <c r="G82" s="1" t="s">
        <v>2271</v>
      </c>
      <c r="H82" t="s">
        <v>44</v>
      </c>
      <c r="J82" t="s">
        <v>516</v>
      </c>
      <c r="K82" t="s">
        <v>517</v>
      </c>
      <c r="M82" t="s">
        <v>518</v>
      </c>
      <c r="S82" s="1" t="s">
        <v>2270</v>
      </c>
      <c r="U82" s="1" t="s">
        <v>2269</v>
      </c>
      <c r="V82" t="s">
        <v>2268</v>
      </c>
      <c r="W82" t="s">
        <v>2263</v>
      </c>
      <c r="X82" s="3">
        <v>46057</v>
      </c>
      <c r="Z82" s="2">
        <v>45444</v>
      </c>
      <c r="AA82" s="2">
        <v>45441</v>
      </c>
      <c r="AB82" s="2">
        <v>45808</v>
      </c>
      <c r="AC82" t="s">
        <v>20</v>
      </c>
      <c r="AE82" t="s">
        <v>2267</v>
      </c>
      <c r="AJ82" t="s">
        <v>2266</v>
      </c>
      <c r="AQ82" s="2">
        <v>45473</v>
      </c>
      <c r="AR82" s="2">
        <v>45450</v>
      </c>
      <c r="AS82" t="s">
        <v>20</v>
      </c>
      <c r="AY82" s="2">
        <v>45833</v>
      </c>
      <c r="AZ82" t="s">
        <v>1764</v>
      </c>
      <c r="BF82" t="s">
        <v>1763</v>
      </c>
    </row>
    <row r="83" spans="1:58" ht="237.5">
      <c r="B83">
        <v>87</v>
      </c>
      <c r="C83" t="s">
        <v>446</v>
      </c>
      <c r="E83" t="s">
        <v>447</v>
      </c>
      <c r="G83" s="1" t="s">
        <v>2265</v>
      </c>
      <c r="H83" t="s">
        <v>50</v>
      </c>
      <c r="L83" t="s">
        <v>448</v>
      </c>
      <c r="M83" t="s">
        <v>449</v>
      </c>
      <c r="S83" t="s">
        <v>20</v>
      </c>
      <c r="U83" t="s">
        <v>20</v>
      </c>
      <c r="V83" s="1" t="s">
        <v>2264</v>
      </c>
      <c r="W83" t="s">
        <v>2263</v>
      </c>
      <c r="X83" s="3">
        <v>46074</v>
      </c>
      <c r="Z83" s="2">
        <v>45474</v>
      </c>
      <c r="AA83" s="2">
        <v>45448</v>
      </c>
      <c r="AB83" s="2">
        <v>45838</v>
      </c>
      <c r="AC83" t="s">
        <v>20</v>
      </c>
      <c r="AE83" t="s">
        <v>2262</v>
      </c>
      <c r="AJ83" t="s">
        <v>2261</v>
      </c>
      <c r="AQ83" s="2">
        <v>45504</v>
      </c>
      <c r="AR83" s="2">
        <v>45468</v>
      </c>
      <c r="AS83" t="s">
        <v>20</v>
      </c>
      <c r="AY83" s="2">
        <v>45903</v>
      </c>
    </row>
    <row r="84" spans="1:58" ht="137.5">
      <c r="B84">
        <v>88</v>
      </c>
      <c r="C84" s="1" t="s">
        <v>2260</v>
      </c>
      <c r="D84" t="s">
        <v>22</v>
      </c>
      <c r="E84" t="s">
        <v>526</v>
      </c>
      <c r="G84" s="1" t="s">
        <v>2259</v>
      </c>
      <c r="H84" t="s">
        <v>527</v>
      </c>
      <c r="J84" t="s">
        <v>528</v>
      </c>
      <c r="K84" t="s">
        <v>529</v>
      </c>
      <c r="L84" s="1" t="s">
        <v>530</v>
      </c>
      <c r="M84" s="1" t="s">
        <v>531</v>
      </c>
      <c r="U84" t="s">
        <v>2258</v>
      </c>
      <c r="V84" s="1" t="s">
        <v>2257</v>
      </c>
      <c r="W84" t="s">
        <v>2249</v>
      </c>
      <c r="X84" s="3">
        <v>46057</v>
      </c>
      <c r="Z84" s="2">
        <v>45474</v>
      </c>
      <c r="AA84" s="2">
        <v>45467</v>
      </c>
      <c r="AB84" s="2">
        <v>45838</v>
      </c>
      <c r="AC84" t="s">
        <v>20</v>
      </c>
      <c r="AE84" t="s">
        <v>1757</v>
      </c>
      <c r="AJ84" t="s">
        <v>2248</v>
      </c>
      <c r="AQ84" s="2">
        <v>45504</v>
      </c>
      <c r="AR84" s="2">
        <v>45472</v>
      </c>
      <c r="AS84" t="s">
        <v>20</v>
      </c>
      <c r="AY84" s="2">
        <v>45903</v>
      </c>
      <c r="AZ84" t="s">
        <v>1764</v>
      </c>
      <c r="BF84" t="s">
        <v>1763</v>
      </c>
    </row>
    <row r="85" spans="1:58" ht="100">
      <c r="B85">
        <v>89</v>
      </c>
      <c r="C85" s="1" t="s">
        <v>2256</v>
      </c>
      <c r="D85" t="s">
        <v>520</v>
      </c>
      <c r="E85" t="s">
        <v>521</v>
      </c>
      <c r="F85" s="1" t="s">
        <v>2255</v>
      </c>
      <c r="G85" s="1" t="s">
        <v>2254</v>
      </c>
      <c r="H85" t="s">
        <v>197</v>
      </c>
      <c r="J85" t="s">
        <v>522</v>
      </c>
      <c r="K85" t="s">
        <v>523</v>
      </c>
      <c r="M85" t="s">
        <v>524</v>
      </c>
      <c r="Q85" t="s">
        <v>2253</v>
      </c>
      <c r="R85" t="s">
        <v>2252</v>
      </c>
      <c r="T85" t="s">
        <v>20</v>
      </c>
      <c r="U85" t="s">
        <v>2251</v>
      </c>
      <c r="V85" t="s">
        <v>2250</v>
      </c>
      <c r="W85" t="s">
        <v>2249</v>
      </c>
      <c r="X85" s="3">
        <v>46074</v>
      </c>
      <c r="Z85" s="2">
        <v>45474</v>
      </c>
      <c r="AA85" s="2">
        <v>45468</v>
      </c>
      <c r="AB85" s="2">
        <v>45838</v>
      </c>
      <c r="AC85" t="s">
        <v>20</v>
      </c>
      <c r="AE85" t="s">
        <v>1757</v>
      </c>
      <c r="AJ85" t="s">
        <v>2248</v>
      </c>
      <c r="AQ85" s="2">
        <v>45504</v>
      </c>
      <c r="AR85" s="2">
        <v>45540</v>
      </c>
      <c r="AS85" t="s">
        <v>20</v>
      </c>
      <c r="AY85" s="2">
        <v>45903</v>
      </c>
      <c r="AZ85" t="s">
        <v>1764</v>
      </c>
      <c r="BF85" t="s">
        <v>2247</v>
      </c>
    </row>
    <row r="86" spans="1:58" ht="212.5">
      <c r="A86">
        <v>68</v>
      </c>
      <c r="B86">
        <v>90</v>
      </c>
      <c r="C86" s="1" t="s">
        <v>2246</v>
      </c>
      <c r="D86" t="s">
        <v>15</v>
      </c>
      <c r="E86" t="s">
        <v>464</v>
      </c>
      <c r="G86" s="1" t="s">
        <v>2245</v>
      </c>
      <c r="H86" t="s">
        <v>465</v>
      </c>
      <c r="J86" t="s">
        <v>466</v>
      </c>
      <c r="K86" t="s">
        <v>467</v>
      </c>
      <c r="L86" t="s">
        <v>468</v>
      </c>
      <c r="M86" t="s">
        <v>469</v>
      </c>
      <c r="S86" t="s">
        <v>1849</v>
      </c>
      <c r="U86" s="1" t="s">
        <v>2244</v>
      </c>
      <c r="V86" s="1" t="s">
        <v>2243</v>
      </c>
      <c r="W86" s="1" t="s">
        <v>2242</v>
      </c>
      <c r="X86" s="3">
        <v>46165</v>
      </c>
      <c r="Z86" s="2">
        <v>45505</v>
      </c>
      <c r="AA86" s="2">
        <v>45478</v>
      </c>
      <c r="AB86" s="2">
        <v>45869</v>
      </c>
      <c r="AC86" t="s">
        <v>20</v>
      </c>
      <c r="AE86" t="s">
        <v>2241</v>
      </c>
      <c r="AJ86" t="s">
        <v>2230</v>
      </c>
      <c r="AQ86" s="2">
        <v>45535</v>
      </c>
      <c r="AR86" s="2">
        <v>45503</v>
      </c>
      <c r="AS86" t="s">
        <v>20</v>
      </c>
      <c r="AY86" s="2">
        <v>45939</v>
      </c>
      <c r="AZ86" t="s">
        <v>1764</v>
      </c>
      <c r="BF86" t="s">
        <v>2240</v>
      </c>
    </row>
    <row r="87" spans="1:58" ht="409.5">
      <c r="A87">
        <v>48</v>
      </c>
      <c r="B87">
        <v>91</v>
      </c>
      <c r="C87" s="1" t="s">
        <v>2239</v>
      </c>
      <c r="D87" t="s">
        <v>292</v>
      </c>
      <c r="E87" t="s">
        <v>293</v>
      </c>
      <c r="F87" s="1" t="s">
        <v>2238</v>
      </c>
      <c r="G87" s="1" t="s">
        <v>2237</v>
      </c>
      <c r="H87" t="s">
        <v>50</v>
      </c>
      <c r="J87" t="s">
        <v>294</v>
      </c>
      <c r="K87" t="s">
        <v>295</v>
      </c>
      <c r="L87" t="s">
        <v>296</v>
      </c>
      <c r="M87" t="s">
        <v>297</v>
      </c>
      <c r="R87" t="s">
        <v>2236</v>
      </c>
      <c r="S87" t="s">
        <v>2235</v>
      </c>
      <c r="T87" t="s">
        <v>20</v>
      </c>
      <c r="V87" s="1" t="s">
        <v>2234</v>
      </c>
      <c r="W87" s="1" t="s">
        <v>2233</v>
      </c>
      <c r="X87" s="3">
        <v>46057</v>
      </c>
      <c r="Z87" s="2">
        <v>45505</v>
      </c>
      <c r="AA87" s="1" t="s">
        <v>2232</v>
      </c>
      <c r="AB87" s="2">
        <v>45869</v>
      </c>
      <c r="AC87" t="s">
        <v>20</v>
      </c>
      <c r="AE87" t="s">
        <v>2231</v>
      </c>
      <c r="AJ87" t="s">
        <v>2230</v>
      </c>
      <c r="AQ87" s="2">
        <v>45535</v>
      </c>
      <c r="AR87" s="2">
        <v>45526</v>
      </c>
      <c r="AS87" t="s">
        <v>20</v>
      </c>
      <c r="AY87" s="2">
        <v>45894</v>
      </c>
      <c r="BF87" t="s">
        <v>2229</v>
      </c>
    </row>
    <row r="88" spans="1:58" ht="225">
      <c r="B88">
        <v>92</v>
      </c>
      <c r="C88" s="1" t="s">
        <v>2228</v>
      </c>
      <c r="D88" t="s">
        <v>15</v>
      </c>
      <c r="E88" t="s">
        <v>556</v>
      </c>
      <c r="G88" s="1" t="s">
        <v>2227</v>
      </c>
      <c r="H88" t="s">
        <v>44</v>
      </c>
      <c r="J88" t="s">
        <v>557</v>
      </c>
      <c r="L88" t="s">
        <v>558</v>
      </c>
      <c r="M88" t="s">
        <v>559</v>
      </c>
      <c r="U88" t="s">
        <v>2226</v>
      </c>
      <c r="V88" s="1" t="s">
        <v>2225</v>
      </c>
      <c r="W88" t="s">
        <v>2206</v>
      </c>
      <c r="X88" s="2">
        <v>45691</v>
      </c>
      <c r="Z88" s="2">
        <v>45505</v>
      </c>
      <c r="AA88" s="2">
        <v>45489</v>
      </c>
      <c r="AB88" s="2">
        <v>45869</v>
      </c>
      <c r="AC88" t="s">
        <v>20</v>
      </c>
      <c r="AE88" t="s">
        <v>2218</v>
      </c>
      <c r="AJ88" t="s">
        <v>2217</v>
      </c>
      <c r="AQ88" s="2">
        <v>45535</v>
      </c>
      <c r="AR88" s="2">
        <v>45490</v>
      </c>
      <c r="AS88" t="s">
        <v>20</v>
      </c>
      <c r="AY88" s="2">
        <v>45939</v>
      </c>
      <c r="AZ88" t="s">
        <v>1764</v>
      </c>
      <c r="BF88" t="s">
        <v>2224</v>
      </c>
    </row>
    <row r="89" spans="1:58" ht="409.5">
      <c r="A89">
        <v>75</v>
      </c>
      <c r="B89">
        <v>93</v>
      </c>
      <c r="C89" s="1" t="s">
        <v>2223</v>
      </c>
      <c r="D89" t="s">
        <v>15</v>
      </c>
      <c r="E89" s="1" t="s">
        <v>533</v>
      </c>
      <c r="G89" s="1" t="s">
        <v>2222</v>
      </c>
      <c r="H89" t="s">
        <v>465</v>
      </c>
      <c r="J89" t="s">
        <v>534</v>
      </c>
      <c r="L89" t="s">
        <v>535</v>
      </c>
      <c r="M89" t="s">
        <v>536</v>
      </c>
      <c r="S89" s="1" t="s">
        <v>2221</v>
      </c>
      <c r="U89" t="s">
        <v>2220</v>
      </c>
      <c r="V89" s="1" t="s">
        <v>2219</v>
      </c>
      <c r="W89" t="s">
        <v>2206</v>
      </c>
      <c r="X89" s="3">
        <v>46058</v>
      </c>
      <c r="Z89" s="2">
        <v>45505</v>
      </c>
      <c r="AA89" s="2">
        <v>45489</v>
      </c>
      <c r="AB89" s="2">
        <v>45869</v>
      </c>
      <c r="AC89" t="s">
        <v>20</v>
      </c>
      <c r="AE89" t="s">
        <v>2218</v>
      </c>
      <c r="AJ89" t="s">
        <v>2217</v>
      </c>
      <c r="AQ89" s="2">
        <v>45535</v>
      </c>
      <c r="AR89" s="2">
        <v>45539</v>
      </c>
      <c r="AS89" t="s">
        <v>20</v>
      </c>
      <c r="AY89" s="2">
        <v>45939</v>
      </c>
      <c r="AZ89" t="s">
        <v>1764</v>
      </c>
      <c r="BF89" t="s">
        <v>2216</v>
      </c>
    </row>
    <row r="90" spans="1:58" ht="100">
      <c r="B90">
        <v>94</v>
      </c>
      <c r="C90" s="1" t="s">
        <v>2215</v>
      </c>
      <c r="E90" t="s">
        <v>551</v>
      </c>
      <c r="G90" s="1" t="s">
        <v>2214</v>
      </c>
      <c r="H90" t="s">
        <v>240</v>
      </c>
      <c r="J90" t="s">
        <v>552</v>
      </c>
      <c r="K90" t="s">
        <v>553</v>
      </c>
      <c r="M90" t="s">
        <v>554</v>
      </c>
      <c r="U90" t="s">
        <v>2213</v>
      </c>
      <c r="V90" t="s">
        <v>2212</v>
      </c>
      <c r="W90" t="s">
        <v>2206</v>
      </c>
      <c r="X90" s="3">
        <v>46167</v>
      </c>
      <c r="Z90" s="2">
        <v>45505</v>
      </c>
      <c r="AA90" s="2">
        <v>45496</v>
      </c>
      <c r="AB90" s="2">
        <v>45869</v>
      </c>
      <c r="AC90" t="s">
        <v>20</v>
      </c>
      <c r="AE90" t="s">
        <v>2205</v>
      </c>
      <c r="AJ90" t="s">
        <v>2204</v>
      </c>
      <c r="AQ90" s="2">
        <v>45535</v>
      </c>
      <c r="AR90" s="2">
        <v>45534</v>
      </c>
      <c r="AS90" t="s">
        <v>20</v>
      </c>
      <c r="AY90" s="2">
        <v>45974</v>
      </c>
      <c r="AZ90" t="s">
        <v>1764</v>
      </c>
      <c r="BF90" t="s">
        <v>2211</v>
      </c>
    </row>
    <row r="91" spans="1:58" ht="187.5">
      <c r="B91">
        <v>95</v>
      </c>
      <c r="C91" s="1" t="s">
        <v>2210</v>
      </c>
      <c r="D91" t="s">
        <v>561</v>
      </c>
      <c r="E91" t="s">
        <v>562</v>
      </c>
      <c r="G91" s="1" t="s">
        <v>2209</v>
      </c>
      <c r="H91" t="s">
        <v>57</v>
      </c>
      <c r="J91" t="s">
        <v>563</v>
      </c>
      <c r="K91" t="s">
        <v>564</v>
      </c>
      <c r="M91" t="s">
        <v>565</v>
      </c>
      <c r="S91" t="s">
        <v>1849</v>
      </c>
      <c r="U91" s="1" t="s">
        <v>2208</v>
      </c>
      <c r="V91" s="1" t="s">
        <v>2207</v>
      </c>
      <c r="W91" t="s">
        <v>2206</v>
      </c>
      <c r="X91" s="3">
        <v>46166</v>
      </c>
      <c r="Z91" s="2">
        <v>45505</v>
      </c>
      <c r="AA91" s="2">
        <v>45496</v>
      </c>
      <c r="AB91" s="2">
        <v>45869</v>
      </c>
      <c r="AC91" t="s">
        <v>20</v>
      </c>
      <c r="AE91" t="s">
        <v>2205</v>
      </c>
      <c r="AJ91" t="s">
        <v>2204</v>
      </c>
      <c r="AQ91" s="2">
        <v>45535</v>
      </c>
      <c r="AR91" s="2">
        <v>45498</v>
      </c>
      <c r="AS91" t="s">
        <v>20</v>
      </c>
      <c r="AY91" s="2">
        <v>45894</v>
      </c>
      <c r="AZ91" t="s">
        <v>1764</v>
      </c>
      <c r="BF91" t="s">
        <v>2203</v>
      </c>
    </row>
    <row r="92" spans="1:58" ht="137.5">
      <c r="A92">
        <v>25</v>
      </c>
      <c r="B92">
        <v>96</v>
      </c>
      <c r="C92" t="s">
        <v>2202</v>
      </c>
      <c r="D92" t="s">
        <v>22</v>
      </c>
      <c r="E92" t="s">
        <v>151</v>
      </c>
      <c r="G92" s="1" t="s">
        <v>2201</v>
      </c>
      <c r="H92" t="s">
        <v>152</v>
      </c>
      <c r="J92" t="s">
        <v>153</v>
      </c>
      <c r="K92" t="s">
        <v>154</v>
      </c>
      <c r="L92" t="s">
        <v>155</v>
      </c>
      <c r="M92" t="s">
        <v>156</v>
      </c>
      <c r="Q92" t="s">
        <v>2200</v>
      </c>
      <c r="S92" t="s">
        <v>2199</v>
      </c>
      <c r="U92" t="s">
        <v>2198</v>
      </c>
      <c r="V92" s="1" t="s">
        <v>2197</v>
      </c>
      <c r="W92" t="s">
        <v>2196</v>
      </c>
      <c r="X92" s="3">
        <v>46066</v>
      </c>
      <c r="Z92" s="2">
        <v>45536</v>
      </c>
      <c r="AA92" s="2">
        <v>45525</v>
      </c>
      <c r="AB92" s="2">
        <v>45900</v>
      </c>
      <c r="AE92" t="s">
        <v>2195</v>
      </c>
      <c r="AG92" t="s">
        <v>2195</v>
      </c>
      <c r="AJ92" t="s">
        <v>2195</v>
      </c>
      <c r="AR92" s="2">
        <v>45525</v>
      </c>
      <c r="AY92" s="2">
        <v>45939</v>
      </c>
      <c r="BF92" t="s">
        <v>2194</v>
      </c>
    </row>
    <row r="93" spans="1:58" ht="87.5">
      <c r="B93">
        <v>97</v>
      </c>
      <c r="C93" t="s">
        <v>2193</v>
      </c>
      <c r="D93" t="s">
        <v>15</v>
      </c>
      <c r="E93" t="s">
        <v>572</v>
      </c>
      <c r="G93" s="1" t="s">
        <v>2192</v>
      </c>
      <c r="H93" t="s">
        <v>114</v>
      </c>
      <c r="J93" t="s">
        <v>573</v>
      </c>
      <c r="K93" t="s">
        <v>574</v>
      </c>
      <c r="M93" t="s">
        <v>575</v>
      </c>
      <c r="U93" t="s">
        <v>2191</v>
      </c>
      <c r="V93" t="s">
        <v>2190</v>
      </c>
      <c r="W93" s="2">
        <v>45531</v>
      </c>
      <c r="X93" s="2">
        <v>45709</v>
      </c>
      <c r="Z93" s="2">
        <v>45536</v>
      </c>
      <c r="AA93" s="2">
        <v>45535</v>
      </c>
      <c r="AB93" s="2">
        <v>45900</v>
      </c>
      <c r="AC93" t="s">
        <v>20</v>
      </c>
      <c r="AE93" t="s">
        <v>2184</v>
      </c>
      <c r="AJ93" t="s">
        <v>2010</v>
      </c>
      <c r="AR93" s="2">
        <v>45552</v>
      </c>
      <c r="AY93" s="2">
        <v>45939</v>
      </c>
      <c r="AZ93" t="s">
        <v>1764</v>
      </c>
      <c r="BF93" t="s">
        <v>2189</v>
      </c>
    </row>
    <row r="94" spans="1:58" ht="75">
      <c r="B94">
        <v>98</v>
      </c>
      <c r="C94" t="s">
        <v>2188</v>
      </c>
      <c r="D94" t="s">
        <v>15</v>
      </c>
      <c r="E94" t="s">
        <v>567</v>
      </c>
      <c r="G94" s="1" t="s">
        <v>2187</v>
      </c>
      <c r="H94" t="s">
        <v>50</v>
      </c>
      <c r="J94" t="s">
        <v>568</v>
      </c>
      <c r="K94" t="s">
        <v>569</v>
      </c>
      <c r="L94">
        <v>8065398123</v>
      </c>
      <c r="M94" t="s">
        <v>570</v>
      </c>
      <c r="S94" t="s">
        <v>1849</v>
      </c>
      <c r="U94" s="1" t="s">
        <v>2186</v>
      </c>
      <c r="V94" t="s">
        <v>2185</v>
      </c>
      <c r="W94" s="2">
        <v>45531</v>
      </c>
      <c r="X94" s="2">
        <v>45692</v>
      </c>
      <c r="Z94" s="2">
        <v>45536</v>
      </c>
      <c r="AA94" s="2">
        <v>45541</v>
      </c>
      <c r="AB94" s="2">
        <v>45900</v>
      </c>
      <c r="AC94" t="s">
        <v>20</v>
      </c>
      <c r="AE94" t="s">
        <v>2184</v>
      </c>
      <c r="AH94" t="s">
        <v>2183</v>
      </c>
      <c r="AJ94" t="s">
        <v>2010</v>
      </c>
      <c r="AQ94" s="2">
        <v>45596</v>
      </c>
      <c r="AR94" s="2">
        <v>45604</v>
      </c>
      <c r="AY94" s="2">
        <v>45987</v>
      </c>
      <c r="BF94" t="s">
        <v>2182</v>
      </c>
    </row>
    <row r="95" spans="1:58" ht="100">
      <c r="B95">
        <v>99</v>
      </c>
      <c r="C95" s="1" t="s">
        <v>2181</v>
      </c>
      <c r="D95" t="s">
        <v>22</v>
      </c>
      <c r="E95" t="s">
        <v>583</v>
      </c>
      <c r="G95" s="1" t="s">
        <v>2180</v>
      </c>
      <c r="H95" t="s">
        <v>527</v>
      </c>
      <c r="J95" t="s">
        <v>584</v>
      </c>
      <c r="K95" t="s">
        <v>585</v>
      </c>
      <c r="L95">
        <v>9070418760</v>
      </c>
      <c r="M95" t="s">
        <v>586</v>
      </c>
      <c r="S95" t="s">
        <v>1849</v>
      </c>
      <c r="U95" t="s">
        <v>2179</v>
      </c>
      <c r="V95" t="s">
        <v>2178</v>
      </c>
      <c r="W95" s="2">
        <v>45560</v>
      </c>
      <c r="X95" s="2">
        <v>45692</v>
      </c>
      <c r="Z95" s="2">
        <v>45566</v>
      </c>
      <c r="AA95" s="2">
        <v>45567</v>
      </c>
      <c r="AB95" s="2">
        <v>45930</v>
      </c>
      <c r="AC95" t="s">
        <v>20</v>
      </c>
      <c r="AE95" t="s">
        <v>2177</v>
      </c>
      <c r="AJ95" t="s">
        <v>2168</v>
      </c>
      <c r="AQ95" s="2">
        <v>45626</v>
      </c>
      <c r="AR95" s="2">
        <v>45575</v>
      </c>
      <c r="AS95" t="s">
        <v>20</v>
      </c>
      <c r="AY95" s="2">
        <v>45987</v>
      </c>
      <c r="BF95" t="s">
        <v>2176</v>
      </c>
    </row>
    <row r="96" spans="1:58" ht="87.5">
      <c r="A96">
        <v>100</v>
      </c>
      <c r="B96">
        <v>100</v>
      </c>
      <c r="C96" s="1" t="s">
        <v>2175</v>
      </c>
      <c r="D96" t="s">
        <v>538</v>
      </c>
      <c r="E96" t="s">
        <v>539</v>
      </c>
      <c r="G96" s="1" t="s">
        <v>2174</v>
      </c>
      <c r="H96" t="s">
        <v>63</v>
      </c>
      <c r="J96" t="s">
        <v>540</v>
      </c>
      <c r="K96" t="s">
        <v>541</v>
      </c>
      <c r="L96" t="s">
        <v>542</v>
      </c>
      <c r="M96" t="s">
        <v>543</v>
      </c>
      <c r="O96" t="s">
        <v>544</v>
      </c>
      <c r="P96" t="s">
        <v>545</v>
      </c>
      <c r="S96" s="1" t="s">
        <v>2173</v>
      </c>
      <c r="U96" t="s">
        <v>2172</v>
      </c>
      <c r="V96" t="s">
        <v>2171</v>
      </c>
      <c r="W96" t="s">
        <v>2170</v>
      </c>
      <c r="X96" s="3">
        <v>46169</v>
      </c>
      <c r="Z96" s="2">
        <v>45566</v>
      </c>
      <c r="AA96" s="2">
        <v>45569</v>
      </c>
      <c r="AB96" s="2">
        <v>45930</v>
      </c>
      <c r="AC96" t="s">
        <v>20</v>
      </c>
      <c r="AE96" t="s">
        <v>2169</v>
      </c>
      <c r="AJ96" t="s">
        <v>2168</v>
      </c>
      <c r="AQ96" s="2">
        <v>45626</v>
      </c>
      <c r="AR96" s="2">
        <v>45625</v>
      </c>
      <c r="AS96" t="s">
        <v>20</v>
      </c>
      <c r="AY96" s="2">
        <v>46043</v>
      </c>
      <c r="BF96" t="s">
        <v>1763</v>
      </c>
    </row>
    <row r="97" spans="2:58" ht="100">
      <c r="B97">
        <v>101</v>
      </c>
      <c r="C97" s="1" t="s">
        <v>2167</v>
      </c>
      <c r="D97" t="s">
        <v>22</v>
      </c>
      <c r="E97" t="s">
        <v>588</v>
      </c>
      <c r="G97" s="1" t="s">
        <v>2166</v>
      </c>
      <c r="H97" t="s">
        <v>240</v>
      </c>
      <c r="J97" t="s">
        <v>589</v>
      </c>
      <c r="K97" t="s">
        <v>590</v>
      </c>
      <c r="M97" t="s">
        <v>591</v>
      </c>
      <c r="U97" t="s">
        <v>2165</v>
      </c>
      <c r="V97" s="1" t="s">
        <v>2164</v>
      </c>
      <c r="W97" s="2">
        <v>45560</v>
      </c>
      <c r="X97" s="2">
        <v>45701</v>
      </c>
      <c r="Z97" s="2">
        <v>45566</v>
      </c>
      <c r="AA97" s="2">
        <v>45572</v>
      </c>
      <c r="AB97" s="2">
        <v>45930</v>
      </c>
      <c r="AC97" t="s">
        <v>20</v>
      </c>
      <c r="AE97" t="s">
        <v>2163</v>
      </c>
      <c r="AJ97" t="s">
        <v>2162</v>
      </c>
      <c r="AQ97" t="s">
        <v>2161</v>
      </c>
      <c r="AR97" s="2">
        <v>45677</v>
      </c>
      <c r="AS97" t="s">
        <v>20</v>
      </c>
      <c r="AY97" s="2">
        <v>45987</v>
      </c>
      <c r="AZ97" t="s">
        <v>1764</v>
      </c>
      <c r="BF97" t="s">
        <v>2160</v>
      </c>
    </row>
    <row r="98" spans="2:58" ht="62.5">
      <c r="B98">
        <v>102</v>
      </c>
      <c r="C98" t="s">
        <v>2159</v>
      </c>
      <c r="D98" t="s">
        <v>22</v>
      </c>
      <c r="E98" t="s">
        <v>609</v>
      </c>
      <c r="G98" s="1" t="s">
        <v>2158</v>
      </c>
      <c r="H98" t="s">
        <v>260</v>
      </c>
      <c r="J98" t="s">
        <v>610</v>
      </c>
      <c r="K98" t="s">
        <v>611</v>
      </c>
      <c r="M98" t="s">
        <v>612</v>
      </c>
      <c r="Q98" t="s">
        <v>612</v>
      </c>
      <c r="R98" t="s">
        <v>612</v>
      </c>
      <c r="U98" t="s">
        <v>2157</v>
      </c>
      <c r="V98" t="s">
        <v>2156</v>
      </c>
      <c r="W98" s="2">
        <v>45569</v>
      </c>
      <c r="X98" s="2">
        <v>45693</v>
      </c>
      <c r="Z98" s="2">
        <v>45597</v>
      </c>
      <c r="AA98" s="2">
        <v>45574</v>
      </c>
      <c r="AB98" s="2">
        <v>45961</v>
      </c>
      <c r="AC98" t="s">
        <v>20</v>
      </c>
      <c r="AE98" t="s">
        <v>2155</v>
      </c>
      <c r="AJ98" t="s">
        <v>2148</v>
      </c>
      <c r="AQ98" s="2">
        <v>45626</v>
      </c>
      <c r="AR98" s="2">
        <v>45578</v>
      </c>
      <c r="AS98" t="s">
        <v>20</v>
      </c>
      <c r="AY98" s="2">
        <v>45987</v>
      </c>
      <c r="BF98" t="s">
        <v>2154</v>
      </c>
    </row>
    <row r="99" spans="2:58" ht="150">
      <c r="B99">
        <v>103</v>
      </c>
      <c r="C99" s="1" t="s">
        <v>2153</v>
      </c>
      <c r="D99" t="s">
        <v>603</v>
      </c>
      <c r="E99" t="s">
        <v>604</v>
      </c>
      <c r="G99" s="1" t="s">
        <v>2152</v>
      </c>
      <c r="H99" t="s">
        <v>63</v>
      </c>
      <c r="J99" t="s">
        <v>605</v>
      </c>
      <c r="K99" t="s">
        <v>606</v>
      </c>
      <c r="L99">
        <v>9074397135</v>
      </c>
      <c r="M99" t="s">
        <v>607</v>
      </c>
      <c r="U99" t="s">
        <v>2151</v>
      </c>
      <c r="V99" t="s">
        <v>2150</v>
      </c>
      <c r="W99" s="2">
        <v>45567</v>
      </c>
      <c r="X99" s="2">
        <v>45701</v>
      </c>
      <c r="Z99" s="2">
        <v>45574</v>
      </c>
      <c r="AA99" s="2">
        <v>45581</v>
      </c>
      <c r="AB99" s="2">
        <v>45938</v>
      </c>
      <c r="AC99" t="s">
        <v>20</v>
      </c>
      <c r="AE99" t="s">
        <v>2149</v>
      </c>
      <c r="AJ99" t="s">
        <v>2148</v>
      </c>
      <c r="AQ99" s="2">
        <v>45626</v>
      </c>
      <c r="AR99" s="2">
        <v>45586</v>
      </c>
      <c r="AS99" t="s">
        <v>20</v>
      </c>
      <c r="AY99" s="2">
        <v>45987</v>
      </c>
      <c r="BF99" t="s">
        <v>2147</v>
      </c>
    </row>
    <row r="100" spans="2:58" ht="62.5">
      <c r="B100">
        <v>104</v>
      </c>
      <c r="C100" t="s">
        <v>2146</v>
      </c>
      <c r="D100" t="s">
        <v>614</v>
      </c>
      <c r="E100" t="s">
        <v>615</v>
      </c>
      <c r="G100" s="1" t="s">
        <v>2145</v>
      </c>
      <c r="H100" t="s">
        <v>31</v>
      </c>
      <c r="J100" t="s">
        <v>616</v>
      </c>
      <c r="K100" t="s">
        <v>617</v>
      </c>
      <c r="M100" t="s">
        <v>618</v>
      </c>
      <c r="O100" t="s">
        <v>619</v>
      </c>
      <c r="P100" t="s">
        <v>620</v>
      </c>
      <c r="U100" t="s">
        <v>2144</v>
      </c>
      <c r="V100" t="s">
        <v>2143</v>
      </c>
      <c r="W100" s="2">
        <v>45596</v>
      </c>
      <c r="X100" s="2">
        <v>45709</v>
      </c>
      <c r="Z100" s="2">
        <v>45627</v>
      </c>
      <c r="AA100" s="2">
        <v>45610</v>
      </c>
      <c r="AB100" s="2">
        <v>45991</v>
      </c>
      <c r="AC100" t="s">
        <v>20</v>
      </c>
      <c r="AE100" t="s">
        <v>2142</v>
      </c>
      <c r="AJ100" t="s">
        <v>2141</v>
      </c>
      <c r="AQ100" s="2">
        <v>45657</v>
      </c>
      <c r="AR100" s="2">
        <v>45616</v>
      </c>
      <c r="AS100" t="s">
        <v>20</v>
      </c>
      <c r="AY100" s="2">
        <v>46016</v>
      </c>
      <c r="BF100" t="s">
        <v>1763</v>
      </c>
    </row>
    <row r="101" spans="2:58" ht="112.5">
      <c r="B101">
        <v>105</v>
      </c>
      <c r="C101" t="s">
        <v>592</v>
      </c>
      <c r="E101" t="s">
        <v>593</v>
      </c>
      <c r="G101" s="1" t="s">
        <v>2140</v>
      </c>
      <c r="H101" t="s">
        <v>63</v>
      </c>
      <c r="L101" t="s">
        <v>594</v>
      </c>
      <c r="M101" t="s">
        <v>595</v>
      </c>
      <c r="S101" t="s">
        <v>2139</v>
      </c>
      <c r="U101" s="1" t="s">
        <v>2138</v>
      </c>
      <c r="V101" s="1" t="s">
        <v>2137</v>
      </c>
      <c r="W101" s="2">
        <v>45610</v>
      </c>
      <c r="X101" s="2">
        <v>45705</v>
      </c>
      <c r="Z101" s="2">
        <v>45614</v>
      </c>
      <c r="AA101" s="2">
        <v>45615</v>
      </c>
      <c r="AB101" s="2">
        <v>45978</v>
      </c>
      <c r="AC101" t="s">
        <v>20</v>
      </c>
      <c r="AE101" t="s">
        <v>2136</v>
      </c>
      <c r="AJ101" t="s">
        <v>2135</v>
      </c>
      <c r="AQ101" s="2">
        <v>45657</v>
      </c>
      <c r="AR101" s="2">
        <v>45654</v>
      </c>
      <c r="AS101" t="s">
        <v>20</v>
      </c>
      <c r="AY101" s="2">
        <v>46097</v>
      </c>
    </row>
    <row r="102" spans="2:58" ht="62.5">
      <c r="B102">
        <v>106</v>
      </c>
      <c r="C102" t="s">
        <v>2134</v>
      </c>
      <c r="D102" t="s">
        <v>15</v>
      </c>
      <c r="E102" t="s">
        <v>627</v>
      </c>
      <c r="G102" s="1" t="s">
        <v>2133</v>
      </c>
      <c r="H102" t="s">
        <v>331</v>
      </c>
      <c r="J102" t="s">
        <v>628</v>
      </c>
      <c r="K102" t="s">
        <v>629</v>
      </c>
      <c r="L102" t="s">
        <v>630</v>
      </c>
      <c r="M102" t="s">
        <v>631</v>
      </c>
      <c r="U102" t="s">
        <v>2132</v>
      </c>
      <c r="W102" t="s">
        <v>2131</v>
      </c>
      <c r="Z102" s="2">
        <v>45627</v>
      </c>
      <c r="AB102" s="2">
        <v>45991</v>
      </c>
      <c r="AC102" t="s">
        <v>20</v>
      </c>
      <c r="AE102" t="s">
        <v>2130</v>
      </c>
      <c r="AH102" s="2">
        <v>45636</v>
      </c>
      <c r="AJ102" t="s">
        <v>2129</v>
      </c>
      <c r="AQ102" s="2">
        <v>45688</v>
      </c>
      <c r="AR102" s="2">
        <v>45688</v>
      </c>
      <c r="AS102" t="s">
        <v>20</v>
      </c>
      <c r="AY102" s="2">
        <v>46097</v>
      </c>
      <c r="BF102" t="s">
        <v>2128</v>
      </c>
    </row>
    <row r="103" spans="2:58">
      <c r="B103">
        <v>107</v>
      </c>
      <c r="C103" t="s">
        <v>2127</v>
      </c>
      <c r="D103" t="s">
        <v>15</v>
      </c>
      <c r="E103" t="s">
        <v>656</v>
      </c>
      <c r="G103" t="s">
        <v>2126</v>
      </c>
      <c r="H103" t="s">
        <v>38</v>
      </c>
      <c r="J103" t="s">
        <v>657</v>
      </c>
      <c r="K103" t="s">
        <v>658</v>
      </c>
      <c r="M103" t="s">
        <v>659</v>
      </c>
      <c r="U103" t="s">
        <v>2125</v>
      </c>
      <c r="W103" t="s">
        <v>2124</v>
      </c>
      <c r="X103" t="s">
        <v>2012</v>
      </c>
      <c r="Z103" s="2">
        <v>45649</v>
      </c>
      <c r="AA103" s="2">
        <v>45650</v>
      </c>
      <c r="AB103" s="2">
        <v>46013</v>
      </c>
      <c r="AC103" t="s">
        <v>20</v>
      </c>
      <c r="AE103" t="s">
        <v>2123</v>
      </c>
      <c r="AH103" t="s">
        <v>2122</v>
      </c>
      <c r="AJ103" t="s">
        <v>2121</v>
      </c>
      <c r="AQ103" s="2">
        <v>45688</v>
      </c>
      <c r="AR103" s="2">
        <v>45664</v>
      </c>
      <c r="AS103" t="s">
        <v>20</v>
      </c>
      <c r="AY103" s="2">
        <v>46097</v>
      </c>
      <c r="AZ103" t="s">
        <v>1764</v>
      </c>
      <c r="BF103" t="s">
        <v>1763</v>
      </c>
    </row>
    <row r="104" spans="2:58">
      <c r="B104">
        <v>108</v>
      </c>
      <c r="C104" t="s">
        <v>2120</v>
      </c>
      <c r="D104" t="s">
        <v>561</v>
      </c>
      <c r="E104" t="s">
        <v>661</v>
      </c>
      <c r="G104" t="s">
        <v>2119</v>
      </c>
      <c r="H104" t="s">
        <v>16</v>
      </c>
      <c r="J104" t="s">
        <v>662</v>
      </c>
      <c r="K104" t="s">
        <v>663</v>
      </c>
      <c r="M104" t="s">
        <v>664</v>
      </c>
      <c r="U104" t="s">
        <v>2118</v>
      </c>
      <c r="V104" t="s">
        <v>2117</v>
      </c>
      <c r="W104" t="s">
        <v>2116</v>
      </c>
      <c r="X104" t="s">
        <v>2012</v>
      </c>
      <c r="Z104" s="2">
        <v>45658</v>
      </c>
      <c r="AA104" s="2">
        <v>45663</v>
      </c>
      <c r="AB104" s="2">
        <v>46022</v>
      </c>
      <c r="AC104" t="s">
        <v>20</v>
      </c>
      <c r="AE104" s="2">
        <v>45666</v>
      </c>
      <c r="AG104" t="s">
        <v>2115</v>
      </c>
      <c r="AJ104" t="s">
        <v>2100</v>
      </c>
      <c r="AS104" t="s">
        <v>20</v>
      </c>
      <c r="BF104" t="s">
        <v>1763</v>
      </c>
    </row>
    <row r="105" spans="2:58" ht="225">
      <c r="B105">
        <v>109</v>
      </c>
      <c r="C105" s="1" t="s">
        <v>2114</v>
      </c>
      <c r="D105" t="s">
        <v>15</v>
      </c>
      <c r="E105" t="s">
        <v>441</v>
      </c>
      <c r="G105" s="1" t="s">
        <v>2113</v>
      </c>
      <c r="H105" t="s">
        <v>50</v>
      </c>
      <c r="J105" t="s">
        <v>442</v>
      </c>
      <c r="K105" t="s">
        <v>443</v>
      </c>
      <c r="L105" t="s">
        <v>444</v>
      </c>
      <c r="M105" t="s">
        <v>445</v>
      </c>
      <c r="S105" s="1" t="s">
        <v>2112</v>
      </c>
      <c r="U105" t="s">
        <v>2111</v>
      </c>
      <c r="V105" t="s">
        <v>2110</v>
      </c>
      <c r="W105" s="2">
        <v>45650</v>
      </c>
      <c r="X105" t="s">
        <v>2012</v>
      </c>
      <c r="Z105" s="2">
        <v>45658</v>
      </c>
      <c r="AA105" s="2">
        <v>45663</v>
      </c>
      <c r="AB105" s="2">
        <v>46022</v>
      </c>
      <c r="AC105" t="s">
        <v>20</v>
      </c>
      <c r="AE105" t="s">
        <v>2109</v>
      </c>
      <c r="AH105" s="1" t="s">
        <v>2108</v>
      </c>
      <c r="AJ105" t="s">
        <v>2100</v>
      </c>
      <c r="AQ105" s="2">
        <v>45716</v>
      </c>
      <c r="AR105" s="2">
        <v>45667</v>
      </c>
      <c r="AS105" t="s">
        <v>20</v>
      </c>
      <c r="AY105" s="2">
        <v>46097</v>
      </c>
      <c r="AZ105" t="s">
        <v>1764</v>
      </c>
      <c r="BF105" t="s">
        <v>2107</v>
      </c>
    </row>
    <row r="106" spans="2:58" ht="250">
      <c r="B106">
        <v>110</v>
      </c>
      <c r="C106" t="s">
        <v>2106</v>
      </c>
      <c r="D106" t="s">
        <v>22</v>
      </c>
      <c r="E106" t="s">
        <v>639</v>
      </c>
      <c r="G106" s="1" t="s">
        <v>2105</v>
      </c>
      <c r="H106" t="s">
        <v>44</v>
      </c>
      <c r="J106" t="s">
        <v>640</v>
      </c>
      <c r="K106" t="s">
        <v>641</v>
      </c>
      <c r="L106" t="s">
        <v>642</v>
      </c>
      <c r="M106" t="s">
        <v>643</v>
      </c>
      <c r="S106" t="s">
        <v>2104</v>
      </c>
      <c r="U106" t="s">
        <v>2103</v>
      </c>
      <c r="V106" s="1" t="s">
        <v>2102</v>
      </c>
      <c r="W106" s="2">
        <v>45653</v>
      </c>
      <c r="X106" t="s">
        <v>2012</v>
      </c>
      <c r="Z106" s="2">
        <v>45658</v>
      </c>
      <c r="AA106" s="2">
        <v>45667</v>
      </c>
      <c r="AB106" s="2">
        <v>46022</v>
      </c>
      <c r="AC106" t="s">
        <v>20</v>
      </c>
      <c r="AE106" t="s">
        <v>2101</v>
      </c>
      <c r="AJ106" t="s">
        <v>2100</v>
      </c>
      <c r="AQ106" s="2">
        <v>45716</v>
      </c>
      <c r="AS106" t="s">
        <v>20</v>
      </c>
      <c r="AY106" s="2">
        <v>46097</v>
      </c>
      <c r="BF106" t="s">
        <v>1763</v>
      </c>
    </row>
    <row r="107" spans="2:58" ht="250">
      <c r="B107">
        <v>111</v>
      </c>
      <c r="C107" s="1" t="s">
        <v>2099</v>
      </c>
      <c r="E107" t="s">
        <v>622</v>
      </c>
      <c r="G107" s="1" t="s">
        <v>2098</v>
      </c>
      <c r="H107" t="s">
        <v>85</v>
      </c>
      <c r="J107" t="s">
        <v>623</v>
      </c>
      <c r="L107" t="s">
        <v>624</v>
      </c>
      <c r="M107" t="s">
        <v>625</v>
      </c>
      <c r="U107" t="s">
        <v>2097</v>
      </c>
      <c r="V107" s="1" t="s">
        <v>2096</v>
      </c>
      <c r="W107" s="2">
        <v>45643</v>
      </c>
      <c r="X107" t="s">
        <v>2012</v>
      </c>
      <c r="Z107" s="2">
        <v>45717</v>
      </c>
      <c r="AA107" s="2">
        <v>45650</v>
      </c>
      <c r="AB107" s="2">
        <v>46081</v>
      </c>
      <c r="AC107" t="s">
        <v>20</v>
      </c>
      <c r="AE107" t="s">
        <v>2095</v>
      </c>
      <c r="AG107" t="s">
        <v>2095</v>
      </c>
      <c r="AJ107" t="s">
        <v>2084</v>
      </c>
      <c r="AQ107" s="2">
        <v>45716</v>
      </c>
      <c r="AR107" s="2">
        <v>45679</v>
      </c>
      <c r="AS107" t="s">
        <v>20</v>
      </c>
      <c r="AY107" s="2">
        <v>46097</v>
      </c>
      <c r="BF107" t="s">
        <v>2094</v>
      </c>
    </row>
    <row r="108" spans="2:58" ht="50">
      <c r="B108">
        <v>112</v>
      </c>
      <c r="C108" t="s">
        <v>2093</v>
      </c>
      <c r="D108" t="s">
        <v>15</v>
      </c>
      <c r="E108" t="s">
        <v>675</v>
      </c>
      <c r="G108" t="s">
        <v>2092</v>
      </c>
      <c r="H108" t="s">
        <v>189</v>
      </c>
      <c r="J108" t="s">
        <v>676</v>
      </c>
      <c r="K108" t="s">
        <v>677</v>
      </c>
      <c r="L108">
        <v>9028665323</v>
      </c>
      <c r="M108" t="s">
        <v>678</v>
      </c>
      <c r="S108" t="s">
        <v>1849</v>
      </c>
      <c r="U108" s="1" t="s">
        <v>2091</v>
      </c>
      <c r="V108" t="s">
        <v>2090</v>
      </c>
      <c r="W108" s="2">
        <v>45673</v>
      </c>
      <c r="Z108" s="2">
        <v>45689</v>
      </c>
      <c r="AA108" s="2">
        <v>45680</v>
      </c>
      <c r="AB108" s="2">
        <v>46053</v>
      </c>
      <c r="AC108" t="s">
        <v>20</v>
      </c>
      <c r="AE108" t="s">
        <v>2085</v>
      </c>
      <c r="AJ108" t="s">
        <v>2084</v>
      </c>
      <c r="AQ108" s="2">
        <v>45716</v>
      </c>
      <c r="AR108" s="2">
        <v>45684</v>
      </c>
      <c r="AS108" t="s">
        <v>20</v>
      </c>
      <c r="AY108" s="2">
        <v>46097</v>
      </c>
      <c r="AZ108" t="s">
        <v>1764</v>
      </c>
      <c r="BF108" t="s">
        <v>1763</v>
      </c>
    </row>
    <row r="109" spans="2:58" ht="262.5">
      <c r="B109">
        <v>113</v>
      </c>
      <c r="C109" t="s">
        <v>2089</v>
      </c>
      <c r="D109" t="s">
        <v>15</v>
      </c>
      <c r="E109" t="s">
        <v>680</v>
      </c>
      <c r="G109" t="s">
        <v>2088</v>
      </c>
      <c r="H109" t="s">
        <v>50</v>
      </c>
      <c r="J109" t="s">
        <v>681</v>
      </c>
      <c r="K109" t="s">
        <v>682</v>
      </c>
      <c r="M109" t="s">
        <v>683</v>
      </c>
      <c r="S109" t="s">
        <v>1849</v>
      </c>
      <c r="U109" s="1" t="s">
        <v>2087</v>
      </c>
      <c r="V109" s="1" t="s">
        <v>2086</v>
      </c>
      <c r="W109" s="2">
        <v>45673</v>
      </c>
      <c r="Z109" s="2">
        <v>45701</v>
      </c>
      <c r="AA109" s="2">
        <v>45680</v>
      </c>
      <c r="AB109" s="2">
        <v>46065</v>
      </c>
      <c r="AC109" t="s">
        <v>20</v>
      </c>
      <c r="AE109" t="s">
        <v>2085</v>
      </c>
      <c r="AJ109" t="s">
        <v>2084</v>
      </c>
      <c r="AQ109" s="2">
        <v>45716</v>
      </c>
      <c r="AR109" s="2">
        <v>45691</v>
      </c>
      <c r="AS109" t="s">
        <v>20</v>
      </c>
      <c r="AY109" s="2">
        <v>46097</v>
      </c>
      <c r="BF109" t="s">
        <v>2083</v>
      </c>
    </row>
    <row r="110" spans="2:58" ht="75">
      <c r="B110">
        <v>114</v>
      </c>
      <c r="C110" t="s">
        <v>2082</v>
      </c>
      <c r="D110" t="s">
        <v>15</v>
      </c>
      <c r="E110" t="s">
        <v>651</v>
      </c>
      <c r="G110" s="1" t="s">
        <v>2081</v>
      </c>
      <c r="H110" t="s">
        <v>222</v>
      </c>
      <c r="J110" t="s">
        <v>652</v>
      </c>
      <c r="K110" t="s">
        <v>653</v>
      </c>
      <c r="M110" t="s">
        <v>654</v>
      </c>
      <c r="S110" t="s">
        <v>2080</v>
      </c>
      <c r="U110" t="s">
        <v>2079</v>
      </c>
      <c r="V110" t="s">
        <v>2078</v>
      </c>
      <c r="W110" s="2">
        <v>45673</v>
      </c>
      <c r="Z110" s="2">
        <v>45689</v>
      </c>
      <c r="AA110" s="2">
        <v>45684</v>
      </c>
      <c r="AB110" s="2">
        <v>46053</v>
      </c>
      <c r="AE110" t="s">
        <v>2077</v>
      </c>
      <c r="AJ110" t="s">
        <v>2070</v>
      </c>
      <c r="AQ110" s="2">
        <v>45716</v>
      </c>
      <c r="AR110" s="2">
        <v>45692</v>
      </c>
      <c r="AS110" t="s">
        <v>20</v>
      </c>
      <c r="AY110" s="2">
        <v>46097</v>
      </c>
      <c r="BF110" t="s">
        <v>2076</v>
      </c>
    </row>
    <row r="111" spans="2:58">
      <c r="B111">
        <v>115</v>
      </c>
      <c r="C111" t="s">
        <v>2075</v>
      </c>
      <c r="D111" t="s">
        <v>15</v>
      </c>
      <c r="E111" t="s">
        <v>690</v>
      </c>
      <c r="G111" t="s">
        <v>2074</v>
      </c>
      <c r="H111" t="s">
        <v>114</v>
      </c>
      <c r="J111" t="s">
        <v>691</v>
      </c>
      <c r="K111" t="s">
        <v>692</v>
      </c>
      <c r="M111" t="s">
        <v>693</v>
      </c>
      <c r="U111" t="s">
        <v>2073</v>
      </c>
      <c r="V111" t="s">
        <v>2072</v>
      </c>
      <c r="W111" s="2">
        <v>45673</v>
      </c>
      <c r="X111" t="s">
        <v>2012</v>
      </c>
      <c r="Z111" s="2">
        <v>45717</v>
      </c>
      <c r="AA111" s="2">
        <v>45691</v>
      </c>
      <c r="AB111" s="2">
        <v>46081</v>
      </c>
      <c r="AC111" t="s">
        <v>20</v>
      </c>
      <c r="AE111" t="s">
        <v>2071</v>
      </c>
      <c r="AH111" s="2">
        <v>45819</v>
      </c>
      <c r="AJ111" t="s">
        <v>2070</v>
      </c>
      <c r="AQ111" s="2">
        <v>45747</v>
      </c>
      <c r="AR111" s="2">
        <v>45700</v>
      </c>
      <c r="AS111" t="s">
        <v>20</v>
      </c>
      <c r="AY111" s="2">
        <v>46097</v>
      </c>
      <c r="BF111" t="s">
        <v>2069</v>
      </c>
    </row>
    <row r="112" spans="2:58">
      <c r="B112">
        <v>116</v>
      </c>
      <c r="C112" t="s">
        <v>2068</v>
      </c>
      <c r="D112" t="s">
        <v>15</v>
      </c>
      <c r="E112" t="s">
        <v>685</v>
      </c>
      <c r="G112" t="s">
        <v>2067</v>
      </c>
      <c r="H112" t="s">
        <v>484</v>
      </c>
      <c r="J112" t="s">
        <v>686</v>
      </c>
      <c r="K112" t="s">
        <v>687</v>
      </c>
      <c r="M112" t="s">
        <v>688</v>
      </c>
      <c r="S112" t="s">
        <v>1849</v>
      </c>
      <c r="U112" t="s">
        <v>2066</v>
      </c>
      <c r="V112" t="s">
        <v>2065</v>
      </c>
      <c r="W112" s="2">
        <v>45673</v>
      </c>
      <c r="Z112" s="2">
        <v>45717</v>
      </c>
      <c r="AA112" s="2">
        <v>45707</v>
      </c>
      <c r="AB112" s="2">
        <v>46081</v>
      </c>
      <c r="AC112" t="s">
        <v>20</v>
      </c>
      <c r="AE112" t="s">
        <v>2058</v>
      </c>
      <c r="AJ112" t="s">
        <v>2057</v>
      </c>
      <c r="AQ112" s="2">
        <v>45747</v>
      </c>
      <c r="AR112" s="2">
        <v>45716</v>
      </c>
      <c r="AS112" t="s">
        <v>20</v>
      </c>
      <c r="AZ112" t="s">
        <v>1764</v>
      </c>
      <c r="BF112" t="s">
        <v>2064</v>
      </c>
    </row>
    <row r="113" spans="2:58" ht="150">
      <c r="B113">
        <v>117</v>
      </c>
      <c r="C113" t="s">
        <v>2063</v>
      </c>
      <c r="D113" t="s">
        <v>633</v>
      </c>
      <c r="E113" t="s">
        <v>634</v>
      </c>
      <c r="G113" s="1" t="s">
        <v>635</v>
      </c>
      <c r="H113" t="s">
        <v>50</v>
      </c>
      <c r="J113" t="s">
        <v>636</v>
      </c>
      <c r="K113" t="s">
        <v>637</v>
      </c>
      <c r="M113" t="s">
        <v>638</v>
      </c>
      <c r="U113" t="s">
        <v>2062</v>
      </c>
      <c r="V113" t="s">
        <v>2059</v>
      </c>
      <c r="W113" s="2">
        <v>45695</v>
      </c>
      <c r="Z113" s="2">
        <v>45689</v>
      </c>
      <c r="AA113" s="2">
        <v>45707</v>
      </c>
      <c r="AB113" s="2">
        <v>46053</v>
      </c>
      <c r="AC113" t="s">
        <v>20</v>
      </c>
      <c r="AE113" t="s">
        <v>2058</v>
      </c>
      <c r="AJ113" t="s">
        <v>2057</v>
      </c>
      <c r="AQ113" s="2">
        <v>45747</v>
      </c>
      <c r="AS113" t="s">
        <v>20</v>
      </c>
    </row>
    <row r="114" spans="2:58" ht="150">
      <c r="B114">
        <v>118</v>
      </c>
      <c r="C114" t="s">
        <v>2061</v>
      </c>
      <c r="D114" t="s">
        <v>633</v>
      </c>
      <c r="E114" t="s">
        <v>634</v>
      </c>
      <c r="G114" s="1" t="s">
        <v>647</v>
      </c>
      <c r="H114" t="s">
        <v>44</v>
      </c>
      <c r="J114" t="s">
        <v>648</v>
      </c>
      <c r="K114" t="s">
        <v>649</v>
      </c>
      <c r="M114" t="s">
        <v>638</v>
      </c>
      <c r="U114" t="s">
        <v>2060</v>
      </c>
      <c r="V114" t="s">
        <v>2059</v>
      </c>
      <c r="W114" s="2">
        <v>45695</v>
      </c>
      <c r="Z114" s="2">
        <v>45689</v>
      </c>
      <c r="AA114" s="2">
        <v>45707</v>
      </c>
      <c r="AB114" s="2">
        <v>46053</v>
      </c>
      <c r="AC114" t="s">
        <v>20</v>
      </c>
      <c r="AE114" t="s">
        <v>2058</v>
      </c>
      <c r="AJ114" t="s">
        <v>2057</v>
      </c>
      <c r="AQ114" s="2">
        <v>45747</v>
      </c>
      <c r="AS114" t="s">
        <v>20</v>
      </c>
      <c r="BF114" t="s">
        <v>1763</v>
      </c>
    </row>
    <row r="115" spans="2:58" ht="225">
      <c r="B115">
        <v>119</v>
      </c>
      <c r="C115" t="s">
        <v>2056</v>
      </c>
      <c r="D115" t="s">
        <v>15</v>
      </c>
      <c r="E115" t="s">
        <v>722</v>
      </c>
      <c r="G115" s="1" t="s">
        <v>2055</v>
      </c>
      <c r="H115" t="s">
        <v>16</v>
      </c>
      <c r="J115" t="s">
        <v>723</v>
      </c>
      <c r="K115" t="s">
        <v>724</v>
      </c>
      <c r="M115" s="1" t="s">
        <v>725</v>
      </c>
      <c r="U115" t="s">
        <v>1800</v>
      </c>
      <c r="V115" t="s">
        <v>2052</v>
      </c>
      <c r="W115" s="2">
        <v>45707</v>
      </c>
      <c r="Z115" s="2">
        <v>45748</v>
      </c>
      <c r="AA115" s="2">
        <v>45719</v>
      </c>
      <c r="AB115" s="2">
        <v>46112</v>
      </c>
      <c r="AE115" s="2">
        <v>45720</v>
      </c>
      <c r="AG115" t="s">
        <v>2051</v>
      </c>
      <c r="AJ115" t="s">
        <v>2035</v>
      </c>
      <c r="BF115" t="s">
        <v>1763</v>
      </c>
    </row>
    <row r="116" spans="2:58" ht="250">
      <c r="B116">
        <v>120</v>
      </c>
      <c r="C116" t="s">
        <v>2054</v>
      </c>
      <c r="D116" t="s">
        <v>15</v>
      </c>
      <c r="E116" t="s">
        <v>711</v>
      </c>
      <c r="G116" s="1" t="s">
        <v>2053</v>
      </c>
      <c r="H116" t="s">
        <v>16</v>
      </c>
      <c r="J116" t="s">
        <v>712</v>
      </c>
      <c r="K116" t="s">
        <v>713</v>
      </c>
      <c r="M116" t="s">
        <v>714</v>
      </c>
      <c r="U116" t="s">
        <v>1800</v>
      </c>
      <c r="V116" t="s">
        <v>2052</v>
      </c>
      <c r="W116" s="2">
        <v>45707</v>
      </c>
      <c r="Z116" s="2">
        <v>45748</v>
      </c>
      <c r="AA116" s="2">
        <v>45719</v>
      </c>
      <c r="AB116" s="2">
        <v>46112</v>
      </c>
      <c r="AE116" s="2">
        <v>45720</v>
      </c>
      <c r="AG116" t="s">
        <v>2051</v>
      </c>
      <c r="AJ116" t="s">
        <v>2035</v>
      </c>
      <c r="AZ116" t="s">
        <v>1764</v>
      </c>
      <c r="BF116" t="s">
        <v>1763</v>
      </c>
    </row>
    <row r="117" spans="2:58" ht="75">
      <c r="B117">
        <v>121</v>
      </c>
      <c r="C117" t="s">
        <v>2050</v>
      </c>
      <c r="D117" t="s">
        <v>15</v>
      </c>
      <c r="E117" t="s">
        <v>701</v>
      </c>
      <c r="G117" s="1" t="s">
        <v>2049</v>
      </c>
      <c r="H117" t="s">
        <v>152</v>
      </c>
      <c r="J117" t="s">
        <v>702</v>
      </c>
      <c r="K117" t="s">
        <v>703</v>
      </c>
      <c r="M117" t="s">
        <v>704</v>
      </c>
      <c r="U117" t="s">
        <v>2048</v>
      </c>
      <c r="V117" t="s">
        <v>2047</v>
      </c>
      <c r="W117" s="2">
        <v>45709</v>
      </c>
      <c r="Z117" s="2">
        <v>45717</v>
      </c>
      <c r="AA117" s="2">
        <v>45721</v>
      </c>
      <c r="AB117" s="2">
        <v>45716</v>
      </c>
      <c r="AE117" s="2">
        <v>45722</v>
      </c>
      <c r="AJ117" t="s">
        <v>2035</v>
      </c>
      <c r="AZ117" t="s">
        <v>1764</v>
      </c>
      <c r="BF117" t="s">
        <v>2046</v>
      </c>
    </row>
    <row r="118" spans="2:58" ht="62.5">
      <c r="B118">
        <v>122</v>
      </c>
      <c r="C118" t="s">
        <v>2045</v>
      </c>
      <c r="D118" t="s">
        <v>733</v>
      </c>
      <c r="E118" t="s">
        <v>734</v>
      </c>
      <c r="G118" t="s">
        <v>2044</v>
      </c>
      <c r="H118" t="s">
        <v>50</v>
      </c>
      <c r="J118" t="s">
        <v>735</v>
      </c>
      <c r="K118" t="s">
        <v>736</v>
      </c>
      <c r="M118" t="s">
        <v>737</v>
      </c>
      <c r="S118" t="s">
        <v>1849</v>
      </c>
      <c r="U118" t="s">
        <v>2043</v>
      </c>
      <c r="V118" s="1" t="s">
        <v>2042</v>
      </c>
      <c r="W118" s="2">
        <v>45714</v>
      </c>
      <c r="X118" t="s">
        <v>2012</v>
      </c>
      <c r="Z118" s="2">
        <v>45748</v>
      </c>
      <c r="AA118" s="2">
        <v>45723</v>
      </c>
      <c r="AB118" s="2">
        <v>46112</v>
      </c>
      <c r="AE118" s="2">
        <v>45726</v>
      </c>
      <c r="AJ118" t="s">
        <v>2035</v>
      </c>
      <c r="BE118" t="s">
        <v>2041</v>
      </c>
      <c r="BF118" t="s">
        <v>2040</v>
      </c>
    </row>
    <row r="119" spans="2:58" ht="125">
      <c r="B119">
        <v>123</v>
      </c>
      <c r="C119" s="1" t="s">
        <v>2039</v>
      </c>
      <c r="D119" t="s">
        <v>15</v>
      </c>
      <c r="E119" t="s">
        <v>727</v>
      </c>
      <c r="G119" t="s">
        <v>2038</v>
      </c>
      <c r="H119" t="s">
        <v>50</v>
      </c>
      <c r="J119" t="s">
        <v>728</v>
      </c>
      <c r="K119" t="s">
        <v>729</v>
      </c>
      <c r="L119" t="s">
        <v>730</v>
      </c>
      <c r="M119" t="s">
        <v>731</v>
      </c>
      <c r="U119" t="s">
        <v>2037</v>
      </c>
      <c r="V119" t="s">
        <v>2036</v>
      </c>
      <c r="W119" s="2">
        <v>45714</v>
      </c>
      <c r="Z119" s="2">
        <v>45748</v>
      </c>
      <c r="AA119" s="2">
        <v>45723</v>
      </c>
      <c r="AB119" s="2">
        <v>46112</v>
      </c>
      <c r="AE119" s="2">
        <v>45728</v>
      </c>
      <c r="AJ119" t="s">
        <v>2035</v>
      </c>
      <c r="AZ119" t="s">
        <v>1764</v>
      </c>
      <c r="BF119" t="s">
        <v>1763</v>
      </c>
    </row>
    <row r="120" spans="2:58">
      <c r="B120">
        <v>124</v>
      </c>
      <c r="C120" t="s">
        <v>2034</v>
      </c>
      <c r="D120" t="s">
        <v>457</v>
      </c>
      <c r="E120" t="s">
        <v>706</v>
      </c>
      <c r="G120" t="s">
        <v>2033</v>
      </c>
      <c r="H120" t="s">
        <v>152</v>
      </c>
      <c r="J120" t="s">
        <v>707</v>
      </c>
      <c r="K120" t="s">
        <v>708</v>
      </c>
      <c r="L120">
        <v>9088117260</v>
      </c>
      <c r="M120" t="s">
        <v>709</v>
      </c>
      <c r="U120" t="s">
        <v>2032</v>
      </c>
      <c r="W120" t="s">
        <v>2031</v>
      </c>
      <c r="Z120" s="2">
        <v>45748</v>
      </c>
      <c r="AA120" s="3">
        <v>46098</v>
      </c>
      <c r="AB120" s="2">
        <v>46112</v>
      </c>
      <c r="AE120" s="2">
        <v>45735</v>
      </c>
      <c r="AJ120" t="s">
        <v>2030</v>
      </c>
      <c r="AZ120" t="s">
        <v>1764</v>
      </c>
      <c r="BF120" t="s">
        <v>2029</v>
      </c>
    </row>
    <row r="121" spans="2:58" ht="100">
      <c r="B121">
        <v>125</v>
      </c>
      <c r="C121" s="1" t="s">
        <v>2028</v>
      </c>
      <c r="D121" t="s">
        <v>15</v>
      </c>
      <c r="E121" t="s">
        <v>754</v>
      </c>
      <c r="G121" s="1" t="s">
        <v>2027</v>
      </c>
      <c r="H121" t="s">
        <v>114</v>
      </c>
      <c r="J121" t="s">
        <v>755</v>
      </c>
      <c r="K121" t="s">
        <v>756</v>
      </c>
      <c r="M121" t="s">
        <v>757</v>
      </c>
      <c r="U121" t="s">
        <v>1800</v>
      </c>
      <c r="W121" s="2">
        <v>45729</v>
      </c>
      <c r="Z121" s="2">
        <v>45748</v>
      </c>
      <c r="AA121" s="2">
        <v>45737</v>
      </c>
      <c r="AB121" s="2">
        <v>46112</v>
      </c>
      <c r="AE121" s="2">
        <v>45743</v>
      </c>
      <c r="AF121" s="3">
        <v>46115</v>
      </c>
      <c r="AG121" s="2">
        <v>45743</v>
      </c>
      <c r="AJ121" t="s">
        <v>2018</v>
      </c>
      <c r="AZ121" t="s">
        <v>1764</v>
      </c>
      <c r="BF121" t="s">
        <v>2026</v>
      </c>
    </row>
    <row r="122" spans="2:58" ht="62.5">
      <c r="B122">
        <v>126</v>
      </c>
      <c r="C122" t="s">
        <v>748</v>
      </c>
      <c r="E122" t="s">
        <v>749</v>
      </c>
      <c r="G122" s="1" t="s">
        <v>750</v>
      </c>
      <c r="H122" t="s">
        <v>114</v>
      </c>
      <c r="L122" t="s">
        <v>751</v>
      </c>
      <c r="M122" t="s">
        <v>752</v>
      </c>
      <c r="U122" t="s">
        <v>2025</v>
      </c>
      <c r="V122" t="s">
        <v>2024</v>
      </c>
      <c r="W122" s="2">
        <v>45728</v>
      </c>
      <c r="Z122" s="2">
        <v>45748</v>
      </c>
      <c r="AA122" s="2">
        <v>45747</v>
      </c>
      <c r="AE122" s="2">
        <v>45748</v>
      </c>
      <c r="AF122" t="s">
        <v>1950</v>
      </c>
      <c r="AG122" s="2">
        <v>45748</v>
      </c>
      <c r="AJ122" t="s">
        <v>2018</v>
      </c>
    </row>
    <row r="123" spans="2:58" ht="112.5">
      <c r="B123">
        <v>127</v>
      </c>
      <c r="C123" s="1" t="s">
        <v>2023</v>
      </c>
      <c r="D123" t="s">
        <v>15</v>
      </c>
      <c r="E123" t="s">
        <v>744</v>
      </c>
      <c r="G123" s="1" t="s">
        <v>2022</v>
      </c>
      <c r="H123" t="s">
        <v>44</v>
      </c>
      <c r="J123" t="s">
        <v>745</v>
      </c>
      <c r="K123" t="s">
        <v>746</v>
      </c>
      <c r="M123" t="s">
        <v>747</v>
      </c>
      <c r="S123" t="s">
        <v>2021</v>
      </c>
      <c r="U123" t="s">
        <v>2020</v>
      </c>
      <c r="V123" t="s">
        <v>2019</v>
      </c>
      <c r="W123" s="2">
        <v>45742</v>
      </c>
      <c r="Z123" s="2">
        <v>45748</v>
      </c>
      <c r="AA123" s="2">
        <v>45747</v>
      </c>
      <c r="AE123" s="2">
        <v>45748</v>
      </c>
      <c r="AJ123" t="s">
        <v>2018</v>
      </c>
    </row>
    <row r="124" spans="2:58" ht="112.5">
      <c r="B124">
        <v>128</v>
      </c>
      <c r="C124" s="1" t="s">
        <v>2017</v>
      </c>
      <c r="D124" t="s">
        <v>561</v>
      </c>
      <c r="E124" t="s">
        <v>577</v>
      </c>
      <c r="G124" s="1" t="s">
        <v>2016</v>
      </c>
      <c r="H124" t="s">
        <v>189</v>
      </c>
      <c r="J124" t="s">
        <v>578</v>
      </c>
      <c r="K124" t="s">
        <v>579</v>
      </c>
      <c r="L124" t="s">
        <v>580</v>
      </c>
      <c r="M124" t="s">
        <v>581</v>
      </c>
      <c r="U124" t="s">
        <v>2015</v>
      </c>
      <c r="V124" t="s">
        <v>2014</v>
      </c>
      <c r="W124" t="s">
        <v>2013</v>
      </c>
      <c r="X124" t="s">
        <v>2012</v>
      </c>
      <c r="Z124" s="2">
        <v>45748</v>
      </c>
      <c r="AA124" s="3">
        <v>46122</v>
      </c>
      <c r="AC124" t="s">
        <v>20</v>
      </c>
      <c r="AE124" t="s">
        <v>2011</v>
      </c>
      <c r="AJ124" t="s">
        <v>2010</v>
      </c>
      <c r="BF124" t="s">
        <v>1763</v>
      </c>
    </row>
    <row r="125" spans="2:58">
      <c r="B125">
        <v>129</v>
      </c>
      <c r="C125" t="s">
        <v>2009</v>
      </c>
      <c r="D125" t="s">
        <v>15</v>
      </c>
      <c r="E125" t="s">
        <v>716</v>
      </c>
      <c r="G125" t="s">
        <v>2008</v>
      </c>
      <c r="H125" t="s">
        <v>44</v>
      </c>
      <c r="J125" t="s">
        <v>717</v>
      </c>
      <c r="K125" t="s">
        <v>718</v>
      </c>
      <c r="L125" t="s">
        <v>719</v>
      </c>
      <c r="M125" t="s">
        <v>720</v>
      </c>
      <c r="S125" t="s">
        <v>2007</v>
      </c>
      <c r="U125" t="s">
        <v>2006</v>
      </c>
      <c r="V125" t="s">
        <v>2005</v>
      </c>
      <c r="W125" s="2">
        <v>45385</v>
      </c>
      <c r="Z125" s="2">
        <v>45750</v>
      </c>
      <c r="AA125" s="3">
        <v>46122</v>
      </c>
      <c r="AE125" t="s">
        <v>2004</v>
      </c>
      <c r="AJ125" t="s">
        <v>2003</v>
      </c>
      <c r="BF125" t="s">
        <v>1763</v>
      </c>
    </row>
    <row r="126" spans="2:58" ht="75">
      <c r="B126">
        <v>130</v>
      </c>
      <c r="C126" t="s">
        <v>2002</v>
      </c>
      <c r="E126" t="s">
        <v>802</v>
      </c>
      <c r="G126" s="1" t="s">
        <v>2001</v>
      </c>
      <c r="H126" t="s">
        <v>803</v>
      </c>
      <c r="J126" t="s">
        <v>804</v>
      </c>
      <c r="K126" t="s">
        <v>805</v>
      </c>
      <c r="L126">
        <v>9034328821</v>
      </c>
      <c r="M126" t="s">
        <v>806</v>
      </c>
      <c r="U126" t="s">
        <v>2000</v>
      </c>
      <c r="V126" t="s">
        <v>1999</v>
      </c>
      <c r="W126" s="2">
        <v>45761</v>
      </c>
      <c r="Z126" s="2">
        <v>45778</v>
      </c>
      <c r="AA126" s="2">
        <v>45765</v>
      </c>
      <c r="AE126" s="2">
        <v>45768</v>
      </c>
      <c r="AJ126" s="2">
        <v>45772</v>
      </c>
      <c r="AZ126" t="s">
        <v>1764</v>
      </c>
      <c r="BE126" t="s">
        <v>1998</v>
      </c>
      <c r="BF126" t="s">
        <v>804</v>
      </c>
    </row>
    <row r="127" spans="2:58">
      <c r="B127">
        <v>131</v>
      </c>
      <c r="C127" t="s">
        <v>1997</v>
      </c>
      <c r="D127" t="s">
        <v>15</v>
      </c>
      <c r="E127" t="s">
        <v>808</v>
      </c>
      <c r="G127" t="s">
        <v>1996</v>
      </c>
      <c r="H127" t="s">
        <v>222</v>
      </c>
      <c r="J127" t="s">
        <v>809</v>
      </c>
      <c r="K127" t="s">
        <v>810</v>
      </c>
      <c r="L127" t="s">
        <v>811</v>
      </c>
      <c r="M127" t="s">
        <v>812</v>
      </c>
      <c r="U127" t="s">
        <v>1995</v>
      </c>
      <c r="V127" t="s">
        <v>1994</v>
      </c>
      <c r="W127" s="2">
        <v>45761</v>
      </c>
      <c r="Z127" s="2">
        <v>45778</v>
      </c>
      <c r="AA127" s="2">
        <v>45764</v>
      </c>
      <c r="AE127" s="2">
        <v>45770</v>
      </c>
      <c r="AJ127" s="2">
        <v>45772</v>
      </c>
      <c r="BF127" t="s">
        <v>1993</v>
      </c>
    </row>
    <row r="128" spans="2:58">
      <c r="B128">
        <v>132</v>
      </c>
      <c r="C128" t="s">
        <v>1992</v>
      </c>
      <c r="D128" t="s">
        <v>15</v>
      </c>
      <c r="E128" t="s">
        <v>782</v>
      </c>
      <c r="G128" t="s">
        <v>1991</v>
      </c>
      <c r="H128" t="s">
        <v>471</v>
      </c>
      <c r="J128" t="s">
        <v>783</v>
      </c>
      <c r="K128" t="s">
        <v>784</v>
      </c>
      <c r="M128" t="s">
        <v>785</v>
      </c>
      <c r="U128" t="s">
        <v>1990</v>
      </c>
      <c r="V128" t="s">
        <v>1989</v>
      </c>
      <c r="W128" s="2">
        <v>45761</v>
      </c>
      <c r="Z128" s="2">
        <v>45778</v>
      </c>
      <c r="AA128" s="2">
        <v>45769</v>
      </c>
      <c r="AE128" s="2">
        <v>45770</v>
      </c>
      <c r="AH128" t="s">
        <v>1988</v>
      </c>
      <c r="AJ128" s="2">
        <v>45772</v>
      </c>
      <c r="BF128" t="s">
        <v>1987</v>
      </c>
    </row>
    <row r="129" spans="2:58" ht="75">
      <c r="B129">
        <v>133</v>
      </c>
      <c r="C129" t="s">
        <v>1986</v>
      </c>
      <c r="D129" t="s">
        <v>15</v>
      </c>
      <c r="E129" t="s">
        <v>787</v>
      </c>
      <c r="G129" s="1" t="s">
        <v>1985</v>
      </c>
      <c r="H129" t="s">
        <v>16</v>
      </c>
      <c r="J129" t="s">
        <v>788</v>
      </c>
      <c r="K129" t="s">
        <v>789</v>
      </c>
      <c r="L129" t="s">
        <v>790</v>
      </c>
      <c r="M129" t="s">
        <v>791</v>
      </c>
      <c r="O129" t="s">
        <v>792</v>
      </c>
      <c r="P129" t="s">
        <v>793</v>
      </c>
      <c r="U129" t="s">
        <v>1984</v>
      </c>
      <c r="W129" s="2">
        <v>45761</v>
      </c>
      <c r="Z129" s="2">
        <v>45778</v>
      </c>
      <c r="AA129" s="2">
        <v>45769</v>
      </c>
      <c r="AE129" s="2">
        <v>45770</v>
      </c>
      <c r="AJ129" s="2">
        <v>45772</v>
      </c>
      <c r="AZ129" t="s">
        <v>1764</v>
      </c>
      <c r="BE129" t="s">
        <v>1763</v>
      </c>
    </row>
    <row r="130" spans="2:58" ht="112.5">
      <c r="B130">
        <v>134</v>
      </c>
      <c r="C130" s="1" t="s">
        <v>1983</v>
      </c>
      <c r="D130" t="s">
        <v>561</v>
      </c>
      <c r="E130" t="s">
        <v>777</v>
      </c>
      <c r="G130" s="1" t="s">
        <v>1982</v>
      </c>
      <c r="H130" t="s">
        <v>247</v>
      </c>
      <c r="J130" t="s">
        <v>778</v>
      </c>
      <c r="K130" t="s">
        <v>779</v>
      </c>
      <c r="M130" t="s">
        <v>780</v>
      </c>
      <c r="U130" t="s">
        <v>1981</v>
      </c>
      <c r="V130" t="s">
        <v>1980</v>
      </c>
      <c r="W130" s="2">
        <v>45772</v>
      </c>
      <c r="Z130" s="2">
        <v>45778</v>
      </c>
      <c r="AA130" s="2">
        <v>45778</v>
      </c>
      <c r="AE130" s="2">
        <v>45778</v>
      </c>
      <c r="AJ130" s="2">
        <v>45792</v>
      </c>
      <c r="BE130" t="s">
        <v>1763</v>
      </c>
    </row>
    <row r="131" spans="2:58" ht="112.5">
      <c r="B131">
        <v>135</v>
      </c>
      <c r="C131" t="s">
        <v>1979</v>
      </c>
      <c r="D131" t="s">
        <v>15</v>
      </c>
      <c r="E131" t="s">
        <v>773</v>
      </c>
      <c r="G131" s="1" t="s">
        <v>1978</v>
      </c>
      <c r="H131" t="s">
        <v>50</v>
      </c>
      <c r="J131" t="s">
        <v>774</v>
      </c>
      <c r="K131" t="s">
        <v>775</v>
      </c>
      <c r="M131" t="s">
        <v>776</v>
      </c>
      <c r="S131" t="s">
        <v>1849</v>
      </c>
      <c r="U131" t="s">
        <v>1977</v>
      </c>
      <c r="V131" t="s">
        <v>1976</v>
      </c>
      <c r="W131" s="2">
        <v>45750</v>
      </c>
      <c r="Z131" s="2">
        <v>45796</v>
      </c>
      <c r="AA131" s="2">
        <v>45757</v>
      </c>
      <c r="AE131" s="2">
        <v>45789</v>
      </c>
      <c r="AH131" s="2">
        <v>45793</v>
      </c>
      <c r="AJ131" s="2">
        <v>45789</v>
      </c>
    </row>
    <row r="132" spans="2:58" ht="150">
      <c r="B132">
        <v>136</v>
      </c>
      <c r="C132" s="1" t="s">
        <v>1975</v>
      </c>
      <c r="D132" t="s">
        <v>15</v>
      </c>
      <c r="E132" t="s">
        <v>759</v>
      </c>
      <c r="G132" s="1" t="s">
        <v>1974</v>
      </c>
      <c r="H132" t="s">
        <v>50</v>
      </c>
      <c r="J132" t="s">
        <v>760</v>
      </c>
      <c r="K132" t="s">
        <v>761</v>
      </c>
      <c r="L132" t="s">
        <v>762</v>
      </c>
      <c r="M132" t="s">
        <v>763</v>
      </c>
      <c r="U132" t="s">
        <v>1973</v>
      </c>
      <c r="V132" s="1" t="s">
        <v>1972</v>
      </c>
      <c r="W132" s="2">
        <v>45750</v>
      </c>
      <c r="Z132" s="2">
        <v>45796</v>
      </c>
      <c r="AA132" s="2">
        <v>45758</v>
      </c>
      <c r="AE132" s="2">
        <v>45789</v>
      </c>
      <c r="AJ132" s="2">
        <v>45789</v>
      </c>
      <c r="BF132" t="s">
        <v>1971</v>
      </c>
    </row>
    <row r="133" spans="2:58" ht="87.5">
      <c r="B133">
        <v>137</v>
      </c>
      <c r="C133" t="s">
        <v>1970</v>
      </c>
      <c r="D133" t="s">
        <v>695</v>
      </c>
      <c r="E133" t="s">
        <v>696</v>
      </c>
      <c r="G133" s="1" t="s">
        <v>1969</v>
      </c>
      <c r="H133" t="s">
        <v>63</v>
      </c>
      <c r="J133" t="s">
        <v>697</v>
      </c>
      <c r="K133" t="s">
        <v>698</v>
      </c>
      <c r="M133" t="s">
        <v>699</v>
      </c>
      <c r="U133" t="s">
        <v>1968</v>
      </c>
      <c r="V133" t="s">
        <v>1967</v>
      </c>
      <c r="W133" s="2">
        <v>45734</v>
      </c>
      <c r="Z133" s="2">
        <v>45748</v>
      </c>
      <c r="AA133" s="2">
        <v>45790</v>
      </c>
      <c r="AE133" s="2">
        <v>45790</v>
      </c>
      <c r="AJ133" s="2">
        <v>45790</v>
      </c>
      <c r="BF133" t="s">
        <v>1763</v>
      </c>
    </row>
    <row r="134" spans="2:58" ht="112.5">
      <c r="B134">
        <v>138</v>
      </c>
      <c r="C134" s="1" t="s">
        <v>1966</v>
      </c>
      <c r="D134" t="s">
        <v>15</v>
      </c>
      <c r="E134" t="s">
        <v>830</v>
      </c>
      <c r="G134" t="s">
        <v>1965</v>
      </c>
      <c r="H134" t="s">
        <v>370</v>
      </c>
      <c r="J134" t="s">
        <v>831</v>
      </c>
      <c r="K134" t="s">
        <v>832</v>
      </c>
      <c r="L134" t="s">
        <v>833</v>
      </c>
      <c r="M134" t="s">
        <v>834</v>
      </c>
      <c r="U134" t="s">
        <v>1964</v>
      </c>
      <c r="V134" t="s">
        <v>1946</v>
      </c>
      <c r="W134" s="3">
        <v>46164</v>
      </c>
      <c r="Z134" s="2">
        <v>45839</v>
      </c>
      <c r="AA134" s="3">
        <v>46169</v>
      </c>
      <c r="AE134" s="2">
        <v>45814</v>
      </c>
      <c r="AJ134" t="s">
        <v>1942</v>
      </c>
      <c r="AZ134" t="s">
        <v>1764</v>
      </c>
      <c r="BF134" t="s">
        <v>1963</v>
      </c>
    </row>
    <row r="135" spans="2:58" ht="125">
      <c r="B135">
        <v>139</v>
      </c>
      <c r="C135" s="1" t="s">
        <v>1962</v>
      </c>
      <c r="D135" t="s">
        <v>15</v>
      </c>
      <c r="E135" t="s">
        <v>857</v>
      </c>
      <c r="G135" s="1" t="s">
        <v>1961</v>
      </c>
      <c r="H135" t="s">
        <v>85</v>
      </c>
      <c r="J135" t="s">
        <v>858</v>
      </c>
      <c r="K135" t="s">
        <v>859</v>
      </c>
      <c r="L135" t="s">
        <v>860</v>
      </c>
      <c r="M135" t="s">
        <v>861</v>
      </c>
      <c r="S135" t="s">
        <v>1960</v>
      </c>
      <c r="U135" t="s">
        <v>1800</v>
      </c>
      <c r="V135" t="s">
        <v>1959</v>
      </c>
      <c r="W135" s="2">
        <v>45806</v>
      </c>
      <c r="Z135" s="2">
        <v>45809</v>
      </c>
      <c r="AA135" s="2">
        <v>45813</v>
      </c>
      <c r="AE135" s="2">
        <v>45813</v>
      </c>
      <c r="AJ135" t="s">
        <v>1942</v>
      </c>
      <c r="AZ135" t="s">
        <v>1764</v>
      </c>
      <c r="BF135" t="s">
        <v>1958</v>
      </c>
    </row>
    <row r="136" spans="2:58" ht="62.5">
      <c r="B136">
        <v>140</v>
      </c>
      <c r="C136" s="1" t="s">
        <v>1957</v>
      </c>
      <c r="D136" t="s">
        <v>15</v>
      </c>
      <c r="E136" t="s">
        <v>597</v>
      </c>
      <c r="G136" t="s">
        <v>598</v>
      </c>
      <c r="H136" t="s">
        <v>260</v>
      </c>
      <c r="J136" t="s">
        <v>599</v>
      </c>
      <c r="K136" t="s">
        <v>600</v>
      </c>
      <c r="M136" t="s">
        <v>601</v>
      </c>
      <c r="V136" t="s">
        <v>1956</v>
      </c>
      <c r="W136" s="2">
        <v>45789</v>
      </c>
      <c r="Z136" s="2">
        <v>45839</v>
      </c>
      <c r="AA136" s="2">
        <v>45797</v>
      </c>
      <c r="AC136" t="s">
        <v>20</v>
      </c>
      <c r="AE136" s="2">
        <v>45814</v>
      </c>
      <c r="AJ136" t="s">
        <v>1942</v>
      </c>
      <c r="AS136" t="s">
        <v>20</v>
      </c>
      <c r="BF136" t="s">
        <v>1763</v>
      </c>
    </row>
    <row r="137" spans="2:58" ht="150">
      <c r="B137">
        <v>141</v>
      </c>
      <c r="C137" s="1" t="s">
        <v>1955</v>
      </c>
      <c r="E137" t="s">
        <v>739</v>
      </c>
      <c r="G137" s="1" t="s">
        <v>1954</v>
      </c>
      <c r="H137" t="s">
        <v>63</v>
      </c>
      <c r="J137" t="s">
        <v>740</v>
      </c>
      <c r="L137" t="s">
        <v>741</v>
      </c>
      <c r="M137" t="s">
        <v>742</v>
      </c>
      <c r="S137" t="s">
        <v>1953</v>
      </c>
      <c r="U137" t="s">
        <v>1952</v>
      </c>
      <c r="V137" s="1" t="s">
        <v>1951</v>
      </c>
      <c r="W137" s="2">
        <v>45790</v>
      </c>
      <c r="Z137" s="2">
        <v>45839</v>
      </c>
      <c r="AA137" s="3">
        <v>46169</v>
      </c>
      <c r="AE137" s="2">
        <v>45814</v>
      </c>
      <c r="AF137" t="s">
        <v>1950</v>
      </c>
      <c r="AJ137" t="s">
        <v>1942</v>
      </c>
      <c r="AZ137" t="s">
        <v>1764</v>
      </c>
      <c r="BF137" t="s">
        <v>1949</v>
      </c>
    </row>
    <row r="138" spans="2:58">
      <c r="B138">
        <v>142</v>
      </c>
      <c r="C138" t="s">
        <v>1948</v>
      </c>
      <c r="D138" t="s">
        <v>15</v>
      </c>
      <c r="E138" t="s">
        <v>845</v>
      </c>
      <c r="G138" t="s">
        <v>846</v>
      </c>
      <c r="H138" t="s">
        <v>16</v>
      </c>
      <c r="J138" t="s">
        <v>847</v>
      </c>
      <c r="K138" t="s">
        <v>848</v>
      </c>
      <c r="L138" t="s">
        <v>849</v>
      </c>
      <c r="M138" t="s">
        <v>850</v>
      </c>
      <c r="U138" t="s">
        <v>1947</v>
      </c>
      <c r="V138" t="s">
        <v>1946</v>
      </c>
      <c r="W138" s="2">
        <v>45806</v>
      </c>
      <c r="Z138" s="2">
        <v>45809</v>
      </c>
      <c r="AA138" s="3">
        <v>46177</v>
      </c>
      <c r="AE138" s="2">
        <v>45815</v>
      </c>
      <c r="AJ138" t="s">
        <v>1942</v>
      </c>
      <c r="BE138" t="s">
        <v>1763</v>
      </c>
    </row>
    <row r="139" spans="2:58" ht="75">
      <c r="B139">
        <v>143</v>
      </c>
      <c r="C139" s="1" t="s">
        <v>1945</v>
      </c>
      <c r="D139" t="s">
        <v>15</v>
      </c>
      <c r="E139" t="s">
        <v>863</v>
      </c>
      <c r="G139" t="s">
        <v>1944</v>
      </c>
      <c r="H139" t="s">
        <v>197</v>
      </c>
      <c r="J139" t="s">
        <v>864</v>
      </c>
      <c r="K139" t="s">
        <v>865</v>
      </c>
      <c r="M139" t="s">
        <v>866</v>
      </c>
      <c r="U139" t="s">
        <v>1800</v>
      </c>
      <c r="V139" t="s">
        <v>1943</v>
      </c>
      <c r="W139" s="2">
        <v>45806</v>
      </c>
      <c r="Z139" s="2">
        <v>45809</v>
      </c>
      <c r="AA139" s="3">
        <v>46182</v>
      </c>
      <c r="AE139" s="2">
        <v>45818</v>
      </c>
      <c r="AJ139" t="s">
        <v>1942</v>
      </c>
      <c r="BE139" t="s">
        <v>1763</v>
      </c>
    </row>
    <row r="140" spans="2:58">
      <c r="B140">
        <v>144</v>
      </c>
      <c r="C140" t="s">
        <v>1941</v>
      </c>
      <c r="E140" t="s">
        <v>795</v>
      </c>
      <c r="G140" t="s">
        <v>1940</v>
      </c>
      <c r="H140" t="s">
        <v>189</v>
      </c>
      <c r="J140" t="s">
        <v>796</v>
      </c>
      <c r="K140" t="s">
        <v>797</v>
      </c>
      <c r="L140">
        <v>9089330281</v>
      </c>
      <c r="M140" t="s">
        <v>798</v>
      </c>
      <c r="O140" t="s">
        <v>799</v>
      </c>
      <c r="P140" t="s">
        <v>800</v>
      </c>
      <c r="U140" t="s">
        <v>1800</v>
      </c>
      <c r="V140" t="s">
        <v>1939</v>
      </c>
      <c r="W140" s="2">
        <v>45827</v>
      </c>
      <c r="Z140" s="2">
        <v>45778</v>
      </c>
      <c r="AA140" s="2">
        <v>45831</v>
      </c>
      <c r="AE140" s="2">
        <v>45826</v>
      </c>
      <c r="AJ140" s="2">
        <v>45833</v>
      </c>
      <c r="AZ140" t="s">
        <v>1764</v>
      </c>
      <c r="BE140" t="s">
        <v>1763</v>
      </c>
    </row>
    <row r="141" spans="2:58" ht="87.5">
      <c r="B141">
        <v>145</v>
      </c>
      <c r="C141" s="1" t="s">
        <v>1938</v>
      </c>
      <c r="D141" t="s">
        <v>22</v>
      </c>
      <c r="E141" t="s">
        <v>871</v>
      </c>
      <c r="G141" t="s">
        <v>1937</v>
      </c>
      <c r="H141" t="s">
        <v>331</v>
      </c>
      <c r="J141" t="s">
        <v>872</v>
      </c>
      <c r="K141" t="s">
        <v>873</v>
      </c>
      <c r="L141" t="s">
        <v>874</v>
      </c>
      <c r="M141" t="s">
        <v>875</v>
      </c>
      <c r="N141" t="s">
        <v>876</v>
      </c>
      <c r="O141" t="s">
        <v>877</v>
      </c>
      <c r="P141" t="s">
        <v>878</v>
      </c>
      <c r="S141" t="s">
        <v>1849</v>
      </c>
      <c r="U141" t="s">
        <v>1936</v>
      </c>
      <c r="V141" t="s">
        <v>1919</v>
      </c>
      <c r="W141" s="2">
        <v>45821</v>
      </c>
      <c r="Z141" s="2">
        <v>45839</v>
      </c>
      <c r="AA141" s="2">
        <v>45828</v>
      </c>
      <c r="AE141" s="2">
        <v>45828</v>
      </c>
      <c r="AH141" t="s">
        <v>1915</v>
      </c>
      <c r="AJ141" s="2">
        <v>45833</v>
      </c>
      <c r="BF141" t="s">
        <v>1935</v>
      </c>
    </row>
    <row r="142" spans="2:58" ht="100">
      <c r="B142">
        <v>146</v>
      </c>
      <c r="C142" s="1" t="s">
        <v>1934</v>
      </c>
      <c r="D142" t="s">
        <v>22</v>
      </c>
      <c r="E142" t="s">
        <v>880</v>
      </c>
      <c r="G142" t="s">
        <v>1933</v>
      </c>
      <c r="H142" t="s">
        <v>50</v>
      </c>
      <c r="J142" t="s">
        <v>881</v>
      </c>
      <c r="K142">
        <v>453194061</v>
      </c>
      <c r="L142">
        <v>9097815961</v>
      </c>
      <c r="M142" t="s">
        <v>882</v>
      </c>
      <c r="N142" t="s">
        <v>882</v>
      </c>
      <c r="S142" t="s">
        <v>1932</v>
      </c>
      <c r="V142" t="s">
        <v>1919</v>
      </c>
      <c r="W142" s="2">
        <v>45821</v>
      </c>
      <c r="Z142" s="2">
        <v>45839</v>
      </c>
      <c r="AA142" s="2">
        <v>45827</v>
      </c>
      <c r="AE142" s="2">
        <v>45828</v>
      </c>
      <c r="AH142" t="s">
        <v>1897</v>
      </c>
      <c r="AJ142" s="2">
        <v>45833</v>
      </c>
      <c r="BE142" t="s">
        <v>1763</v>
      </c>
    </row>
    <row r="143" spans="2:58" ht="75">
      <c r="B143">
        <v>147</v>
      </c>
      <c r="C143" s="1" t="s">
        <v>1931</v>
      </c>
      <c r="D143" t="s">
        <v>15</v>
      </c>
      <c r="E143" t="s">
        <v>852</v>
      </c>
      <c r="G143" t="s">
        <v>1930</v>
      </c>
      <c r="H143" t="s">
        <v>16</v>
      </c>
      <c r="J143" t="s">
        <v>853</v>
      </c>
      <c r="K143" t="s">
        <v>854</v>
      </c>
      <c r="M143" t="s">
        <v>855</v>
      </c>
      <c r="U143" t="s">
        <v>1800</v>
      </c>
      <c r="V143" t="s">
        <v>1929</v>
      </c>
      <c r="W143" s="2">
        <v>45821</v>
      </c>
      <c r="Z143" s="2">
        <v>45839</v>
      </c>
      <c r="AA143" s="2">
        <v>45831</v>
      </c>
      <c r="AE143" s="2">
        <v>45832</v>
      </c>
      <c r="AJ143" s="2">
        <v>45833</v>
      </c>
      <c r="BE143" t="s">
        <v>1763</v>
      </c>
    </row>
    <row r="144" spans="2:58" ht="100">
      <c r="B144">
        <v>148</v>
      </c>
      <c r="C144" s="1" t="s">
        <v>1928</v>
      </c>
      <c r="D144" t="s">
        <v>22</v>
      </c>
      <c r="E144" t="s">
        <v>893</v>
      </c>
      <c r="G144" t="s">
        <v>1927</v>
      </c>
      <c r="H144" t="s">
        <v>240</v>
      </c>
      <c r="J144" t="s">
        <v>894</v>
      </c>
      <c r="K144" t="s">
        <v>895</v>
      </c>
      <c r="L144" t="s">
        <v>896</v>
      </c>
      <c r="M144" t="s">
        <v>897</v>
      </c>
      <c r="S144" t="s">
        <v>1926</v>
      </c>
      <c r="V144" t="s">
        <v>1919</v>
      </c>
      <c r="W144" s="2">
        <v>45827</v>
      </c>
      <c r="Z144" s="2">
        <v>45852</v>
      </c>
      <c r="AA144" s="2">
        <v>45831</v>
      </c>
      <c r="AE144" s="2">
        <v>45832</v>
      </c>
      <c r="AH144" t="s">
        <v>1925</v>
      </c>
      <c r="AJ144" s="2">
        <v>45833</v>
      </c>
      <c r="BF144" t="s">
        <v>1924</v>
      </c>
    </row>
    <row r="145" spans="2:58" ht="100">
      <c r="B145">
        <v>149</v>
      </c>
      <c r="C145" s="1" t="s">
        <v>1923</v>
      </c>
      <c r="D145" t="s">
        <v>22</v>
      </c>
      <c r="E145" t="s">
        <v>884</v>
      </c>
      <c r="G145" s="1" t="s">
        <v>1922</v>
      </c>
      <c r="H145" t="s">
        <v>885</v>
      </c>
      <c r="J145" t="s">
        <v>886</v>
      </c>
      <c r="K145" t="s">
        <v>887</v>
      </c>
      <c r="L145" t="s">
        <v>888</v>
      </c>
      <c r="N145" t="s">
        <v>889</v>
      </c>
      <c r="O145" t="s">
        <v>890</v>
      </c>
      <c r="P145" t="s">
        <v>891</v>
      </c>
      <c r="S145" t="s">
        <v>1921</v>
      </c>
      <c r="U145" t="s">
        <v>1920</v>
      </c>
      <c r="V145" t="s">
        <v>1919</v>
      </c>
      <c r="W145" s="2">
        <v>45827</v>
      </c>
      <c r="Z145" s="2">
        <v>45839</v>
      </c>
      <c r="AA145" s="2">
        <v>45833</v>
      </c>
      <c r="AE145" s="2">
        <v>45834</v>
      </c>
      <c r="AJ145" s="2">
        <v>45833</v>
      </c>
      <c r="BE145" t="s">
        <v>1763</v>
      </c>
    </row>
    <row r="146" spans="2:58" ht="409.5">
      <c r="B146">
        <v>150</v>
      </c>
      <c r="C146" s="1" t="s">
        <v>1918</v>
      </c>
      <c r="D146" t="s">
        <v>15</v>
      </c>
      <c r="E146" t="s">
        <v>909</v>
      </c>
      <c r="G146" t="s">
        <v>1917</v>
      </c>
      <c r="H146" t="s">
        <v>152</v>
      </c>
      <c r="J146" t="s">
        <v>910</v>
      </c>
      <c r="K146" t="s">
        <v>911</v>
      </c>
      <c r="L146" t="s">
        <v>912</v>
      </c>
      <c r="M146" t="s">
        <v>913</v>
      </c>
      <c r="N146" t="s">
        <v>913</v>
      </c>
      <c r="O146" t="s">
        <v>914</v>
      </c>
      <c r="P146" t="s">
        <v>913</v>
      </c>
      <c r="S146" t="s">
        <v>1849</v>
      </c>
      <c r="V146" s="1" t="s">
        <v>1916</v>
      </c>
      <c r="W146" s="2">
        <v>45833</v>
      </c>
      <c r="Z146" s="2">
        <v>45839</v>
      </c>
      <c r="AA146" s="2">
        <v>45838</v>
      </c>
      <c r="AE146" s="2">
        <v>45838</v>
      </c>
      <c r="AH146" t="s">
        <v>1915</v>
      </c>
      <c r="AJ146" s="2">
        <v>45840</v>
      </c>
      <c r="AZ146" t="s">
        <v>1764</v>
      </c>
      <c r="BF146" t="s">
        <v>1914</v>
      </c>
    </row>
    <row r="147" spans="2:58" ht="62.5">
      <c r="B147">
        <v>151</v>
      </c>
      <c r="C147" s="1" t="s">
        <v>1913</v>
      </c>
      <c r="D147" t="s">
        <v>15</v>
      </c>
      <c r="E147" t="s">
        <v>916</v>
      </c>
      <c r="G147" t="s">
        <v>1912</v>
      </c>
      <c r="H147" t="s">
        <v>50</v>
      </c>
      <c r="J147" t="s">
        <v>917</v>
      </c>
      <c r="K147" t="s">
        <v>918</v>
      </c>
      <c r="L147" t="s">
        <v>919</v>
      </c>
      <c r="M147" t="s">
        <v>920</v>
      </c>
      <c r="N147" t="s">
        <v>921</v>
      </c>
      <c r="O147" t="s">
        <v>922</v>
      </c>
      <c r="P147" t="s">
        <v>923</v>
      </c>
      <c r="S147" t="s">
        <v>1800</v>
      </c>
      <c r="W147" s="2">
        <v>45833</v>
      </c>
      <c r="Z147" s="2">
        <v>45831</v>
      </c>
      <c r="AA147" s="3">
        <v>46205</v>
      </c>
      <c r="AE147" s="2">
        <v>45842</v>
      </c>
      <c r="AJ147" s="2">
        <v>45846</v>
      </c>
      <c r="BE147" t="s">
        <v>1763</v>
      </c>
    </row>
    <row r="148" spans="2:58" ht="100">
      <c r="B148">
        <v>152</v>
      </c>
      <c r="C148" s="1" t="s">
        <v>1911</v>
      </c>
      <c r="D148" t="s">
        <v>22</v>
      </c>
      <c r="E148" t="s">
        <v>925</v>
      </c>
      <c r="G148" t="s">
        <v>1910</v>
      </c>
      <c r="H148" t="s">
        <v>121</v>
      </c>
      <c r="J148" t="s">
        <v>926</v>
      </c>
      <c r="K148" t="s">
        <v>927</v>
      </c>
      <c r="L148" t="s">
        <v>928</v>
      </c>
      <c r="M148" t="s">
        <v>929</v>
      </c>
      <c r="N148" t="s">
        <v>930</v>
      </c>
      <c r="S148" t="s">
        <v>1909</v>
      </c>
      <c r="W148" s="2">
        <v>45833</v>
      </c>
      <c r="Z148" s="2">
        <v>45839</v>
      </c>
      <c r="AA148" s="3">
        <v>46205</v>
      </c>
      <c r="AE148" s="2">
        <v>45842</v>
      </c>
      <c r="AJ148" s="2">
        <v>45840</v>
      </c>
      <c r="BF148" t="s">
        <v>1908</v>
      </c>
    </row>
    <row r="149" spans="2:58">
      <c r="B149">
        <v>153</v>
      </c>
      <c r="C149" t="s">
        <v>1907</v>
      </c>
      <c r="D149" t="s">
        <v>765</v>
      </c>
      <c r="E149" t="s">
        <v>766</v>
      </c>
      <c r="G149" t="s">
        <v>1906</v>
      </c>
      <c r="H149" t="s">
        <v>189</v>
      </c>
      <c r="J149" t="s">
        <v>767</v>
      </c>
      <c r="K149" t="s">
        <v>768</v>
      </c>
      <c r="M149" t="s">
        <v>769</v>
      </c>
      <c r="O149" t="s">
        <v>770</v>
      </c>
      <c r="P149" t="s">
        <v>771</v>
      </c>
      <c r="U149" t="s">
        <v>1905</v>
      </c>
      <c r="V149" t="s">
        <v>1904</v>
      </c>
      <c r="W149" s="2">
        <v>45840</v>
      </c>
      <c r="Z149" s="2">
        <v>45839</v>
      </c>
      <c r="AA149" s="2">
        <v>45845</v>
      </c>
      <c r="AE149" s="2">
        <v>45845</v>
      </c>
      <c r="AH149" t="s">
        <v>1903</v>
      </c>
      <c r="AJ149" s="2">
        <v>45846</v>
      </c>
    </row>
    <row r="150" spans="2:58" ht="100">
      <c r="B150">
        <v>154</v>
      </c>
      <c r="C150" s="1" t="s">
        <v>1902</v>
      </c>
      <c r="D150" t="s">
        <v>15</v>
      </c>
      <c r="E150" t="s">
        <v>899</v>
      </c>
      <c r="G150" t="s">
        <v>900</v>
      </c>
      <c r="H150" t="s">
        <v>16</v>
      </c>
      <c r="J150" t="s">
        <v>901</v>
      </c>
      <c r="K150" t="s">
        <v>902</v>
      </c>
      <c r="L150" t="s">
        <v>903</v>
      </c>
      <c r="M150" t="s">
        <v>904</v>
      </c>
      <c r="N150" t="s">
        <v>905</v>
      </c>
      <c r="O150" t="s">
        <v>906</v>
      </c>
      <c r="P150" t="s">
        <v>907</v>
      </c>
      <c r="S150" t="s">
        <v>1901</v>
      </c>
      <c r="W150" s="2">
        <v>45827</v>
      </c>
      <c r="Z150" s="2">
        <v>45821</v>
      </c>
      <c r="AA150" s="2">
        <v>45845</v>
      </c>
      <c r="AE150" s="2">
        <v>45846</v>
      </c>
      <c r="AH150" t="s">
        <v>1897</v>
      </c>
      <c r="AJ150" s="2">
        <v>45846</v>
      </c>
      <c r="BE150" t="s">
        <v>1763</v>
      </c>
    </row>
    <row r="151" spans="2:58" ht="75">
      <c r="B151">
        <v>155</v>
      </c>
      <c r="C151" s="1" t="s">
        <v>1900</v>
      </c>
      <c r="D151" t="s">
        <v>15</v>
      </c>
      <c r="E151" t="s">
        <v>954</v>
      </c>
      <c r="G151" t="s">
        <v>1899</v>
      </c>
      <c r="H151" t="s">
        <v>222</v>
      </c>
      <c r="J151" t="s">
        <v>955</v>
      </c>
      <c r="K151" t="s">
        <v>956</v>
      </c>
      <c r="L151" t="s">
        <v>957</v>
      </c>
      <c r="M151" t="s">
        <v>958</v>
      </c>
      <c r="S151" t="s">
        <v>1800</v>
      </c>
      <c r="U151" t="s">
        <v>1898</v>
      </c>
      <c r="W151" s="2">
        <v>45840</v>
      </c>
      <c r="Z151" s="2">
        <v>45839</v>
      </c>
      <c r="AA151" s="2">
        <v>45845</v>
      </c>
      <c r="AE151" s="2">
        <v>45846</v>
      </c>
      <c r="AH151" t="s">
        <v>1897</v>
      </c>
      <c r="AJ151" s="2">
        <v>45846</v>
      </c>
      <c r="BF151" t="s">
        <v>1896</v>
      </c>
    </row>
    <row r="152" spans="2:58">
      <c r="B152">
        <v>156</v>
      </c>
      <c r="C152" t="s">
        <v>1895</v>
      </c>
      <c r="D152" t="s">
        <v>666</v>
      </c>
      <c r="E152" t="s">
        <v>667</v>
      </c>
      <c r="G152" t="s">
        <v>1894</v>
      </c>
      <c r="H152" t="s">
        <v>114</v>
      </c>
      <c r="J152" t="s">
        <v>668</v>
      </c>
      <c r="K152" t="s">
        <v>669</v>
      </c>
      <c r="L152" t="s">
        <v>670</v>
      </c>
      <c r="M152" t="s">
        <v>671</v>
      </c>
      <c r="N152" t="s">
        <v>671</v>
      </c>
      <c r="O152" t="s">
        <v>672</v>
      </c>
      <c r="P152" t="s">
        <v>673</v>
      </c>
      <c r="S152" t="s">
        <v>1893</v>
      </c>
      <c r="U152" t="s">
        <v>1800</v>
      </c>
      <c r="V152" t="s">
        <v>1892</v>
      </c>
      <c r="W152" s="2">
        <v>45840</v>
      </c>
      <c r="Z152" s="2">
        <v>45839</v>
      </c>
      <c r="AA152" s="2">
        <v>45853</v>
      </c>
      <c r="AC152" t="s">
        <v>20</v>
      </c>
      <c r="AE152" s="2">
        <v>45853</v>
      </c>
      <c r="AJ152" s="2">
        <v>45853</v>
      </c>
      <c r="AS152" t="s">
        <v>20</v>
      </c>
      <c r="BF152" t="s">
        <v>1763</v>
      </c>
    </row>
    <row r="153" spans="2:58" ht="125">
      <c r="B153">
        <v>157</v>
      </c>
      <c r="C153" s="1" t="s">
        <v>1891</v>
      </c>
      <c r="D153" t="s">
        <v>15</v>
      </c>
      <c r="E153" t="s">
        <v>814</v>
      </c>
      <c r="G153" t="s">
        <v>1890</v>
      </c>
      <c r="H153" t="s">
        <v>44</v>
      </c>
      <c r="J153" t="s">
        <v>815</v>
      </c>
      <c r="K153" t="s">
        <v>816</v>
      </c>
      <c r="L153" t="s">
        <v>817</v>
      </c>
      <c r="M153" t="s">
        <v>818</v>
      </c>
      <c r="N153" t="s">
        <v>818</v>
      </c>
      <c r="O153" t="s">
        <v>819</v>
      </c>
      <c r="P153" t="s">
        <v>820</v>
      </c>
      <c r="S153" t="s">
        <v>1889</v>
      </c>
      <c r="U153" s="6">
        <v>46242.5625</v>
      </c>
      <c r="V153" s="1" t="s">
        <v>1888</v>
      </c>
      <c r="W153" s="2">
        <v>45840</v>
      </c>
      <c r="Z153" s="2">
        <v>45870</v>
      </c>
      <c r="AA153" s="2">
        <v>45845</v>
      </c>
      <c r="AE153" s="2">
        <v>45860</v>
      </c>
      <c r="AJ153" s="2">
        <v>45853</v>
      </c>
      <c r="AZ153" t="s">
        <v>1764</v>
      </c>
      <c r="BF153" t="s">
        <v>1887</v>
      </c>
    </row>
    <row r="154" spans="2:58" ht="112.5">
      <c r="B154">
        <v>158</v>
      </c>
      <c r="C154" s="1" t="s">
        <v>1886</v>
      </c>
      <c r="D154" t="s">
        <v>932</v>
      </c>
      <c r="E154" t="s">
        <v>933</v>
      </c>
      <c r="G154" t="s">
        <v>1885</v>
      </c>
      <c r="H154" t="s">
        <v>16</v>
      </c>
      <c r="J154" t="s">
        <v>934</v>
      </c>
      <c r="K154" t="s">
        <v>935</v>
      </c>
      <c r="L154" t="s">
        <v>936</v>
      </c>
      <c r="M154" t="s">
        <v>937</v>
      </c>
      <c r="N154" t="s">
        <v>937</v>
      </c>
      <c r="S154" t="s">
        <v>1884</v>
      </c>
      <c r="U154" s="6">
        <v>46231.5625</v>
      </c>
      <c r="W154" s="2">
        <v>45840</v>
      </c>
      <c r="Z154" s="2">
        <v>45870</v>
      </c>
      <c r="AA154" s="2">
        <v>45853</v>
      </c>
      <c r="AE154" s="2">
        <v>45860</v>
      </c>
      <c r="AJ154" s="2">
        <v>45853</v>
      </c>
      <c r="AZ154" t="s">
        <v>1764</v>
      </c>
      <c r="BF154" t="s">
        <v>1883</v>
      </c>
    </row>
    <row r="155" spans="2:58" ht="75">
      <c r="B155">
        <v>159</v>
      </c>
      <c r="C155" t="s">
        <v>1882</v>
      </c>
      <c r="D155" s="1" t="s">
        <v>822</v>
      </c>
      <c r="E155" t="s">
        <v>823</v>
      </c>
      <c r="G155" t="s">
        <v>824</v>
      </c>
      <c r="H155" t="s">
        <v>16</v>
      </c>
      <c r="J155" t="s">
        <v>825</v>
      </c>
      <c r="K155" t="s">
        <v>826</v>
      </c>
      <c r="M155" s="1" t="s">
        <v>827</v>
      </c>
      <c r="O155" t="s">
        <v>828</v>
      </c>
      <c r="P155" t="s">
        <v>829</v>
      </c>
      <c r="V155" s="1" t="s">
        <v>1881</v>
      </c>
      <c r="W155" s="2">
        <v>45853</v>
      </c>
      <c r="Z155" s="2">
        <v>45870</v>
      </c>
      <c r="AA155" s="2">
        <v>45862</v>
      </c>
      <c r="AE155" s="2">
        <v>45863</v>
      </c>
      <c r="AJ155" s="2">
        <v>45863</v>
      </c>
      <c r="AZ155" t="s">
        <v>1764</v>
      </c>
      <c r="BF155" t="s">
        <v>1880</v>
      </c>
    </row>
    <row r="156" spans="2:58" ht="87.5">
      <c r="B156">
        <v>160</v>
      </c>
      <c r="C156" t="s">
        <v>959</v>
      </c>
      <c r="D156" t="s">
        <v>15</v>
      </c>
      <c r="E156" t="s">
        <v>960</v>
      </c>
      <c r="G156" t="s">
        <v>1879</v>
      </c>
      <c r="H156" t="s">
        <v>75</v>
      </c>
      <c r="J156" t="s">
        <v>961</v>
      </c>
      <c r="K156">
        <v>116235001</v>
      </c>
      <c r="L156">
        <v>9028198903</v>
      </c>
      <c r="M156" t="s">
        <v>962</v>
      </c>
      <c r="O156" s="1" t="s">
        <v>963</v>
      </c>
      <c r="P156" s="1" t="s">
        <v>964</v>
      </c>
      <c r="S156" t="s">
        <v>1878</v>
      </c>
      <c r="U156" t="s">
        <v>1877</v>
      </c>
      <c r="W156" s="2">
        <v>45853</v>
      </c>
      <c r="Z156" s="2">
        <v>45852</v>
      </c>
      <c r="AA156" t="s">
        <v>1876</v>
      </c>
      <c r="AE156" s="2">
        <v>45863</v>
      </c>
      <c r="AJ156" s="2">
        <v>45863</v>
      </c>
    </row>
    <row r="157" spans="2:58" ht="87.5">
      <c r="B157">
        <v>161</v>
      </c>
      <c r="C157" s="1" t="s">
        <v>1875</v>
      </c>
      <c r="D157" t="s">
        <v>15</v>
      </c>
      <c r="E157" t="s">
        <v>949</v>
      </c>
      <c r="G157" t="s">
        <v>1874</v>
      </c>
      <c r="H157" t="s">
        <v>16</v>
      </c>
      <c r="J157" t="s">
        <v>950</v>
      </c>
      <c r="K157" t="s">
        <v>951</v>
      </c>
      <c r="L157">
        <v>9072797315</v>
      </c>
      <c r="M157" t="s">
        <v>952</v>
      </c>
      <c r="N157" t="s">
        <v>952</v>
      </c>
      <c r="S157" t="s">
        <v>1849</v>
      </c>
      <c r="V157" s="1" t="s">
        <v>1873</v>
      </c>
      <c r="W157" s="2">
        <v>45845</v>
      </c>
      <c r="Z157" s="2">
        <v>45901</v>
      </c>
      <c r="AA157" s="2">
        <v>45862</v>
      </c>
      <c r="AE157" s="2">
        <v>45863</v>
      </c>
      <c r="AJ157" s="2">
        <v>45863</v>
      </c>
      <c r="BF157" t="s">
        <v>1872</v>
      </c>
    </row>
    <row r="158" spans="2:58">
      <c r="B158">
        <v>162</v>
      </c>
      <c r="C158" t="s">
        <v>992</v>
      </c>
      <c r="D158" t="s">
        <v>22</v>
      </c>
      <c r="E158" t="s">
        <v>993</v>
      </c>
      <c r="G158" t="s">
        <v>1871</v>
      </c>
      <c r="H158" t="s">
        <v>44</v>
      </c>
      <c r="J158" t="s">
        <v>994</v>
      </c>
      <c r="K158">
        <v>667308801</v>
      </c>
      <c r="L158">
        <v>9019118405</v>
      </c>
      <c r="M158" t="s">
        <v>995</v>
      </c>
      <c r="S158" t="s">
        <v>1800</v>
      </c>
      <c r="W158" s="2">
        <v>45863</v>
      </c>
      <c r="Z158" s="2">
        <v>45870</v>
      </c>
      <c r="AA158" s="2">
        <v>45868</v>
      </c>
      <c r="AE158" s="2">
        <v>45868</v>
      </c>
      <c r="AJ158" s="2">
        <v>45868</v>
      </c>
    </row>
    <row r="159" spans="2:58">
      <c r="B159">
        <v>163</v>
      </c>
      <c r="C159" t="s">
        <v>996</v>
      </c>
      <c r="D159" t="s">
        <v>22</v>
      </c>
      <c r="E159" t="s">
        <v>997</v>
      </c>
      <c r="G159" t="s">
        <v>998</v>
      </c>
      <c r="H159" t="s">
        <v>152</v>
      </c>
      <c r="J159" t="s">
        <v>999</v>
      </c>
      <c r="K159">
        <v>258312080</v>
      </c>
      <c r="L159">
        <v>9032175923</v>
      </c>
      <c r="M159" t="s">
        <v>1000</v>
      </c>
      <c r="S159" t="s">
        <v>1849</v>
      </c>
      <c r="V159" t="s">
        <v>1859</v>
      </c>
      <c r="W159" s="2">
        <v>45868</v>
      </c>
      <c r="Z159" s="2">
        <v>45870</v>
      </c>
      <c r="AA159" s="2">
        <v>45875</v>
      </c>
      <c r="AE159" s="2">
        <v>45875</v>
      </c>
      <c r="AJ159" s="2">
        <v>45875</v>
      </c>
    </row>
    <row r="160" spans="2:58" ht="112.5">
      <c r="B160">
        <v>164</v>
      </c>
      <c r="C160" s="1" t="s">
        <v>1870</v>
      </c>
      <c r="D160" t="s">
        <v>15</v>
      </c>
      <c r="E160" t="s">
        <v>972</v>
      </c>
      <c r="G160" t="s">
        <v>1869</v>
      </c>
      <c r="H160" t="s">
        <v>50</v>
      </c>
      <c r="J160" t="s">
        <v>973</v>
      </c>
      <c r="K160" t="s">
        <v>974</v>
      </c>
      <c r="L160" t="s">
        <v>975</v>
      </c>
      <c r="M160" t="s">
        <v>976</v>
      </c>
      <c r="N160" t="s">
        <v>976</v>
      </c>
      <c r="S160" t="s">
        <v>1849</v>
      </c>
      <c r="W160" s="2">
        <v>45863</v>
      </c>
      <c r="Z160" s="2">
        <v>45890</v>
      </c>
      <c r="AA160" s="2">
        <v>45868</v>
      </c>
      <c r="AE160" s="2">
        <v>45876</v>
      </c>
      <c r="AH160" t="s">
        <v>1868</v>
      </c>
      <c r="AJ160" s="2">
        <v>45875</v>
      </c>
      <c r="AZ160" t="s">
        <v>1764</v>
      </c>
    </row>
    <row r="161" spans="2:59">
      <c r="B161">
        <v>165</v>
      </c>
      <c r="C161" t="s">
        <v>1001</v>
      </c>
      <c r="E161" t="s">
        <v>1001</v>
      </c>
      <c r="G161" t="s">
        <v>1867</v>
      </c>
      <c r="H161" t="s">
        <v>803</v>
      </c>
      <c r="L161">
        <v>9094507159</v>
      </c>
      <c r="M161" t="s">
        <v>1002</v>
      </c>
      <c r="S161" t="s">
        <v>1866</v>
      </c>
      <c r="W161" s="2">
        <v>45875</v>
      </c>
      <c r="Z161" s="2">
        <v>45884</v>
      </c>
      <c r="AA161" s="2">
        <v>45881</v>
      </c>
      <c r="AE161" s="2">
        <v>45883</v>
      </c>
      <c r="AF161" t="s">
        <v>1865</v>
      </c>
      <c r="AJ161" s="2">
        <v>45894</v>
      </c>
    </row>
    <row r="162" spans="2:59">
      <c r="B162">
        <v>166</v>
      </c>
      <c r="C162" t="s">
        <v>835</v>
      </c>
      <c r="D162" t="s">
        <v>836</v>
      </c>
      <c r="E162" t="s">
        <v>837</v>
      </c>
      <c r="G162" t="s">
        <v>838</v>
      </c>
      <c r="H162" t="s">
        <v>484</v>
      </c>
      <c r="K162" t="s">
        <v>839</v>
      </c>
      <c r="L162" t="s">
        <v>840</v>
      </c>
      <c r="M162" t="s">
        <v>841</v>
      </c>
      <c r="N162" t="s">
        <v>842</v>
      </c>
      <c r="O162" t="s">
        <v>843</v>
      </c>
      <c r="P162" t="s">
        <v>842</v>
      </c>
      <c r="S162" t="s">
        <v>1864</v>
      </c>
      <c r="U162" t="s">
        <v>1800</v>
      </c>
      <c r="V162" t="s">
        <v>1863</v>
      </c>
      <c r="W162" s="2">
        <v>45881</v>
      </c>
      <c r="Z162" s="2">
        <v>45901</v>
      </c>
      <c r="AA162" s="2">
        <v>45897</v>
      </c>
      <c r="AE162" s="2">
        <v>45898</v>
      </c>
      <c r="AJ162" s="2">
        <v>45903</v>
      </c>
    </row>
    <row r="163" spans="2:59" ht="87.5">
      <c r="B163">
        <v>167</v>
      </c>
      <c r="C163" s="1" t="s">
        <v>1862</v>
      </c>
      <c r="D163" t="s">
        <v>15</v>
      </c>
      <c r="E163" t="s">
        <v>987</v>
      </c>
      <c r="G163" t="s">
        <v>1861</v>
      </c>
      <c r="H163" t="s">
        <v>50</v>
      </c>
      <c r="J163" t="s">
        <v>988</v>
      </c>
      <c r="K163" t="s">
        <v>989</v>
      </c>
      <c r="L163" t="s">
        <v>990</v>
      </c>
      <c r="M163" t="s">
        <v>991</v>
      </c>
      <c r="S163" s="1" t="s">
        <v>1860</v>
      </c>
      <c r="V163" t="s">
        <v>1859</v>
      </c>
      <c r="W163" s="2">
        <v>45868</v>
      </c>
      <c r="Z163" s="3">
        <v>46266</v>
      </c>
      <c r="AA163" s="2">
        <v>45897</v>
      </c>
      <c r="AE163" s="2">
        <v>45898</v>
      </c>
      <c r="AJ163" s="2">
        <v>45903</v>
      </c>
      <c r="AZ163" t="s">
        <v>1764</v>
      </c>
    </row>
    <row r="164" spans="2:59" ht="75">
      <c r="B164">
        <v>168</v>
      </c>
      <c r="C164" t="s">
        <v>1022</v>
      </c>
      <c r="D164" t="s">
        <v>22</v>
      </c>
      <c r="E164" t="s">
        <v>1023</v>
      </c>
      <c r="G164" t="s">
        <v>1858</v>
      </c>
      <c r="H164" t="s">
        <v>114</v>
      </c>
      <c r="J164" t="s">
        <v>1024</v>
      </c>
      <c r="K164" t="s">
        <v>1025</v>
      </c>
      <c r="L164" t="s">
        <v>1026</v>
      </c>
      <c r="M164" t="s">
        <v>1027</v>
      </c>
      <c r="N164" t="s">
        <v>1027</v>
      </c>
      <c r="O164" s="1" t="s">
        <v>1028</v>
      </c>
      <c r="P164" s="1" t="s">
        <v>1029</v>
      </c>
      <c r="S164" t="s">
        <v>1800</v>
      </c>
      <c r="W164" s="2">
        <v>45894</v>
      </c>
      <c r="Z164" s="2">
        <v>45901</v>
      </c>
      <c r="AA164" s="2">
        <v>45897</v>
      </c>
      <c r="AE164" s="2">
        <v>45898</v>
      </c>
      <c r="AH164" t="s">
        <v>1857</v>
      </c>
      <c r="AJ164" s="2">
        <v>45903</v>
      </c>
    </row>
    <row r="165" spans="2:59">
      <c r="B165">
        <v>169</v>
      </c>
      <c r="C165" t="s">
        <v>1030</v>
      </c>
      <c r="D165" t="s">
        <v>22</v>
      </c>
      <c r="E165" t="s">
        <v>1031</v>
      </c>
      <c r="G165" t="s">
        <v>1856</v>
      </c>
      <c r="H165" t="s">
        <v>31</v>
      </c>
      <c r="J165" t="s">
        <v>1032</v>
      </c>
      <c r="K165">
        <v>958460022</v>
      </c>
      <c r="L165">
        <v>9049910664</v>
      </c>
      <c r="M165" t="s">
        <v>1033</v>
      </c>
      <c r="S165" t="s">
        <v>1800</v>
      </c>
      <c r="W165" s="2">
        <v>45894</v>
      </c>
      <c r="Z165" s="2">
        <v>45901</v>
      </c>
      <c r="AA165" s="2">
        <v>45898</v>
      </c>
      <c r="AE165" s="2">
        <v>45898</v>
      </c>
      <c r="AJ165" s="2">
        <v>45903</v>
      </c>
    </row>
    <row r="166" spans="2:59">
      <c r="B166">
        <v>170</v>
      </c>
      <c r="C166" t="s">
        <v>1003</v>
      </c>
      <c r="D166" t="s">
        <v>1004</v>
      </c>
      <c r="E166" t="s">
        <v>1005</v>
      </c>
      <c r="G166" t="s">
        <v>1855</v>
      </c>
      <c r="H166" t="s">
        <v>803</v>
      </c>
      <c r="J166" t="s">
        <v>1006</v>
      </c>
      <c r="K166">
        <v>292412020</v>
      </c>
      <c r="L166">
        <v>8084762434</v>
      </c>
      <c r="M166" t="s">
        <v>1007</v>
      </c>
      <c r="S166" t="s">
        <v>1854</v>
      </c>
      <c r="W166" s="2">
        <v>45891</v>
      </c>
      <c r="Z166" s="2">
        <v>45901</v>
      </c>
      <c r="AA166" s="2">
        <v>45902</v>
      </c>
      <c r="AE166" s="2">
        <v>45902</v>
      </c>
      <c r="AJ166" s="2">
        <v>45903</v>
      </c>
      <c r="BG166" t="s">
        <v>1853</v>
      </c>
    </row>
    <row r="167" spans="2:59" ht="75">
      <c r="B167">
        <v>171</v>
      </c>
      <c r="C167" t="s">
        <v>977</v>
      </c>
      <c r="D167" t="s">
        <v>15</v>
      </c>
      <c r="E167" t="s">
        <v>978</v>
      </c>
      <c r="G167" t="s">
        <v>1852</v>
      </c>
      <c r="H167" t="s">
        <v>128</v>
      </c>
      <c r="J167" t="s">
        <v>979</v>
      </c>
      <c r="K167" t="s">
        <v>980</v>
      </c>
      <c r="L167" t="s">
        <v>981</v>
      </c>
      <c r="M167" t="s">
        <v>982</v>
      </c>
      <c r="N167" t="s">
        <v>983</v>
      </c>
      <c r="O167" s="1" t="s">
        <v>984</v>
      </c>
      <c r="P167" s="1" t="s">
        <v>985</v>
      </c>
      <c r="S167" t="s">
        <v>1800</v>
      </c>
      <c r="W167" s="2">
        <v>45903</v>
      </c>
      <c r="Z167" s="2">
        <v>45901</v>
      </c>
      <c r="AA167" s="2">
        <v>45916</v>
      </c>
      <c r="AE167" s="2">
        <v>45916</v>
      </c>
      <c r="AJ167" s="2">
        <v>45924</v>
      </c>
    </row>
    <row r="168" spans="2:59">
      <c r="B168">
        <v>172</v>
      </c>
      <c r="C168" t="s">
        <v>1069</v>
      </c>
      <c r="D168" t="s">
        <v>15</v>
      </c>
      <c r="E168" t="s">
        <v>1070</v>
      </c>
      <c r="G168" t="s">
        <v>1851</v>
      </c>
      <c r="H168" t="s">
        <v>85</v>
      </c>
      <c r="J168" t="s">
        <v>1071</v>
      </c>
      <c r="K168">
        <v>471287405</v>
      </c>
      <c r="L168">
        <v>9022568587</v>
      </c>
      <c r="M168" t="s">
        <v>1072</v>
      </c>
      <c r="S168" t="s">
        <v>1800</v>
      </c>
      <c r="W168" s="2">
        <v>45909</v>
      </c>
      <c r="Z168" s="2">
        <v>45931</v>
      </c>
      <c r="AA168" s="2">
        <v>45916</v>
      </c>
      <c r="AE168" s="2">
        <v>45924</v>
      </c>
      <c r="AJ168" s="2">
        <v>45924</v>
      </c>
    </row>
    <row r="169" spans="2:59">
      <c r="B169">
        <v>173</v>
      </c>
      <c r="C169" t="s">
        <v>1046</v>
      </c>
      <c r="D169" t="s">
        <v>15</v>
      </c>
      <c r="E169" t="s">
        <v>1047</v>
      </c>
      <c r="G169" t="s">
        <v>1850</v>
      </c>
      <c r="H169" t="s">
        <v>114</v>
      </c>
      <c r="J169" t="s">
        <v>1048</v>
      </c>
      <c r="K169" t="s">
        <v>1049</v>
      </c>
      <c r="L169" t="s">
        <v>1050</v>
      </c>
      <c r="M169" t="s">
        <v>1051</v>
      </c>
      <c r="N169" t="s">
        <v>1051</v>
      </c>
      <c r="S169" t="s">
        <v>1849</v>
      </c>
      <c r="W169" s="2">
        <v>45909</v>
      </c>
      <c r="Z169" s="2">
        <v>45931</v>
      </c>
      <c r="AA169" s="2">
        <v>45916</v>
      </c>
      <c r="AE169" s="2">
        <v>45925</v>
      </c>
      <c r="AJ169" s="2">
        <v>45924</v>
      </c>
    </row>
    <row r="170" spans="2:59" ht="100">
      <c r="B170">
        <v>174</v>
      </c>
      <c r="C170" s="1" t="s">
        <v>1848</v>
      </c>
      <c r="D170" t="s">
        <v>939</v>
      </c>
      <c r="E170" t="s">
        <v>940</v>
      </c>
      <c r="G170" t="s">
        <v>1847</v>
      </c>
      <c r="H170" t="s">
        <v>75</v>
      </c>
      <c r="J170" t="s">
        <v>941</v>
      </c>
      <c r="K170" t="s">
        <v>942</v>
      </c>
      <c r="L170" t="s">
        <v>943</v>
      </c>
      <c r="M170" s="1" t="s">
        <v>944</v>
      </c>
      <c r="N170" t="s">
        <v>945</v>
      </c>
      <c r="O170" t="s">
        <v>946</v>
      </c>
      <c r="P170" t="s">
        <v>947</v>
      </c>
      <c r="S170" s="1" t="s">
        <v>1846</v>
      </c>
      <c r="W170" s="2">
        <v>45903</v>
      </c>
      <c r="Z170" s="2">
        <v>45931</v>
      </c>
      <c r="AA170" s="2">
        <v>45916</v>
      </c>
      <c r="AE170" s="2">
        <v>45925</v>
      </c>
      <c r="AJ170" s="2">
        <v>45559</v>
      </c>
      <c r="BE170" t="s">
        <v>1763</v>
      </c>
    </row>
    <row r="171" spans="2:59" ht="25">
      <c r="B171">
        <v>175</v>
      </c>
      <c r="C171" t="s">
        <v>1060</v>
      </c>
      <c r="D171" t="s">
        <v>1061</v>
      </c>
      <c r="E171" s="1" t="s">
        <v>1062</v>
      </c>
      <c r="G171" t="s">
        <v>1845</v>
      </c>
      <c r="H171" t="s">
        <v>44</v>
      </c>
      <c r="J171" t="s">
        <v>1063</v>
      </c>
      <c r="K171" t="s">
        <v>1064</v>
      </c>
      <c r="L171" t="s">
        <v>1065</v>
      </c>
      <c r="M171" t="s">
        <v>1066</v>
      </c>
      <c r="N171" t="s">
        <v>1067</v>
      </c>
      <c r="O171" t="s">
        <v>1068</v>
      </c>
      <c r="P171" t="s">
        <v>1067</v>
      </c>
      <c r="S171" t="s">
        <v>1800</v>
      </c>
      <c r="W171" s="2">
        <v>45918</v>
      </c>
      <c r="Z171" s="2">
        <v>45931</v>
      </c>
      <c r="AA171" s="2">
        <v>45924</v>
      </c>
      <c r="AE171" s="2">
        <v>45925</v>
      </c>
      <c r="AJ171" s="2">
        <v>45924</v>
      </c>
    </row>
    <row r="172" spans="2:59" ht="87.5">
      <c r="B172">
        <v>176</v>
      </c>
      <c r="C172" s="1" t="s">
        <v>1844</v>
      </c>
      <c r="D172" t="s">
        <v>1014</v>
      </c>
      <c r="E172" t="s">
        <v>1015</v>
      </c>
      <c r="G172" t="s">
        <v>1843</v>
      </c>
      <c r="H172" t="s">
        <v>222</v>
      </c>
      <c r="J172" t="s">
        <v>1016</v>
      </c>
      <c r="K172" t="s">
        <v>1017</v>
      </c>
      <c r="L172" t="s">
        <v>1018</v>
      </c>
      <c r="M172" t="s">
        <v>1019</v>
      </c>
      <c r="N172" t="s">
        <v>1019</v>
      </c>
      <c r="O172" s="1" t="s">
        <v>1020</v>
      </c>
      <c r="P172" s="1" t="s">
        <v>1021</v>
      </c>
      <c r="S172" t="s">
        <v>1800</v>
      </c>
      <c r="W172" s="2">
        <v>45894</v>
      </c>
      <c r="Z172" s="2">
        <v>45931</v>
      </c>
      <c r="AA172" s="2">
        <v>45931</v>
      </c>
      <c r="AE172" s="2">
        <v>45932</v>
      </c>
      <c r="AH172" t="s">
        <v>1842</v>
      </c>
      <c r="AJ172" s="2">
        <v>45931</v>
      </c>
      <c r="AZ172" t="s">
        <v>1764</v>
      </c>
    </row>
    <row r="173" spans="2:59">
      <c r="B173">
        <v>177</v>
      </c>
      <c r="C173" t="s">
        <v>1081</v>
      </c>
      <c r="D173" t="s">
        <v>15</v>
      </c>
      <c r="E173" t="s">
        <v>1082</v>
      </c>
      <c r="G173" t="s">
        <v>1841</v>
      </c>
      <c r="H173" t="s">
        <v>114</v>
      </c>
      <c r="J173" t="s">
        <v>1083</v>
      </c>
      <c r="K173" t="s">
        <v>1084</v>
      </c>
      <c r="L173" t="s">
        <v>1085</v>
      </c>
      <c r="M173" t="s">
        <v>1086</v>
      </c>
      <c r="S173" t="s">
        <v>1800</v>
      </c>
      <c r="W173" s="2">
        <v>45931</v>
      </c>
      <c r="Z173" s="2">
        <v>45931</v>
      </c>
      <c r="AA173" s="2">
        <v>45936</v>
      </c>
      <c r="AE173" s="2">
        <v>45936</v>
      </c>
      <c r="AJ173" s="2">
        <v>45939</v>
      </c>
    </row>
    <row r="174" spans="2:59" ht="400">
      <c r="B174">
        <v>178</v>
      </c>
      <c r="C174" t="s">
        <v>965</v>
      </c>
      <c r="D174" t="s">
        <v>15</v>
      </c>
      <c r="E174" t="s">
        <v>966</v>
      </c>
      <c r="G174" s="1" t="s">
        <v>1840</v>
      </c>
      <c r="H174" t="s">
        <v>44</v>
      </c>
      <c r="J174" t="s">
        <v>967</v>
      </c>
      <c r="K174" t="s">
        <v>968</v>
      </c>
      <c r="L174" t="s">
        <v>969</v>
      </c>
      <c r="M174" t="s">
        <v>970</v>
      </c>
      <c r="S174" t="s">
        <v>1800</v>
      </c>
      <c r="V174" s="1" t="s">
        <v>1839</v>
      </c>
      <c r="W174" s="2">
        <v>45903</v>
      </c>
      <c r="Z174" s="2">
        <v>45962</v>
      </c>
      <c r="AA174" s="2">
        <v>45909</v>
      </c>
      <c r="AE174" s="2">
        <v>45946</v>
      </c>
      <c r="AJ174" s="2">
        <v>45946</v>
      </c>
    </row>
    <row r="175" spans="2:59" ht="62.5">
      <c r="B175">
        <v>179</v>
      </c>
      <c r="C175" t="s">
        <v>1008</v>
      </c>
      <c r="D175" t="s">
        <v>22</v>
      </c>
      <c r="E175" t="s">
        <v>1009</v>
      </c>
      <c r="G175" s="1" t="s">
        <v>1838</v>
      </c>
      <c r="H175" t="s">
        <v>63</v>
      </c>
      <c r="J175" t="s">
        <v>1010</v>
      </c>
      <c r="K175">
        <v>566751177</v>
      </c>
      <c r="L175">
        <v>9026170869</v>
      </c>
      <c r="M175" t="s">
        <v>1011</v>
      </c>
      <c r="N175" t="s">
        <v>1012</v>
      </c>
      <c r="S175" t="s">
        <v>1837</v>
      </c>
      <c r="W175" s="2">
        <v>45924</v>
      </c>
      <c r="Z175" s="2">
        <v>45962</v>
      </c>
      <c r="AA175" s="2">
        <v>45933</v>
      </c>
      <c r="AE175" s="2">
        <v>45946</v>
      </c>
      <c r="AJ175" s="2">
        <v>45946</v>
      </c>
    </row>
    <row r="176" spans="2:59" ht="75">
      <c r="B176">
        <v>180</v>
      </c>
      <c r="C176" t="s">
        <v>1052</v>
      </c>
      <c r="D176" t="s">
        <v>1053</v>
      </c>
      <c r="E176" t="s">
        <v>1054</v>
      </c>
      <c r="G176" t="s">
        <v>1836</v>
      </c>
      <c r="H176" t="s">
        <v>885</v>
      </c>
      <c r="J176" t="s">
        <v>1055</v>
      </c>
      <c r="K176">
        <v>963313210</v>
      </c>
      <c r="L176">
        <v>9052924106</v>
      </c>
      <c r="M176" t="s">
        <v>1056</v>
      </c>
      <c r="N176" t="s">
        <v>1057</v>
      </c>
      <c r="O176" s="1" t="s">
        <v>1058</v>
      </c>
      <c r="P176" s="1" t="s">
        <v>1059</v>
      </c>
      <c r="S176" t="s">
        <v>1835</v>
      </c>
      <c r="W176" s="2">
        <v>45924</v>
      </c>
      <c r="Z176" s="2">
        <v>45962</v>
      </c>
      <c r="AA176" s="2">
        <v>45936</v>
      </c>
      <c r="AE176" s="2">
        <v>45946</v>
      </c>
      <c r="AJ176" s="2">
        <v>45946</v>
      </c>
    </row>
    <row r="177" spans="2:58" ht="75">
      <c r="B177">
        <v>181</v>
      </c>
      <c r="C177" t="s">
        <v>1087</v>
      </c>
      <c r="D177" t="s">
        <v>603</v>
      </c>
      <c r="E177" t="s">
        <v>1088</v>
      </c>
      <c r="G177" s="1" t="s">
        <v>1834</v>
      </c>
      <c r="H177" t="s">
        <v>114</v>
      </c>
      <c r="J177" t="s">
        <v>1089</v>
      </c>
      <c r="K177" t="s">
        <v>1090</v>
      </c>
      <c r="L177" t="s">
        <v>1091</v>
      </c>
      <c r="M177" t="s">
        <v>1092</v>
      </c>
      <c r="W177" s="2">
        <v>45939</v>
      </c>
      <c r="Z177" s="2">
        <v>45962</v>
      </c>
      <c r="AA177" s="2">
        <v>45950</v>
      </c>
      <c r="AE177" s="2">
        <v>45954</v>
      </c>
      <c r="AJ177" s="2">
        <v>45959</v>
      </c>
    </row>
    <row r="178" spans="2:58" ht="112.5">
      <c r="B178">
        <v>182</v>
      </c>
      <c r="C178" s="1" t="s">
        <v>1833</v>
      </c>
      <c r="D178" t="s">
        <v>15</v>
      </c>
      <c r="E178" t="s">
        <v>1100</v>
      </c>
      <c r="G178" s="1" t="s">
        <v>1832</v>
      </c>
      <c r="H178" t="s">
        <v>44</v>
      </c>
      <c r="J178" t="s">
        <v>1101</v>
      </c>
      <c r="K178" t="s">
        <v>1102</v>
      </c>
      <c r="L178" t="s">
        <v>1103</v>
      </c>
      <c r="M178" t="s">
        <v>1104</v>
      </c>
      <c r="W178" s="2">
        <v>45946</v>
      </c>
      <c r="Z178" s="2">
        <v>45962</v>
      </c>
      <c r="AA178" s="2">
        <v>45950</v>
      </c>
      <c r="AE178" s="2">
        <v>45954</v>
      </c>
      <c r="AJ178" s="2">
        <v>45959</v>
      </c>
      <c r="AZ178" t="s">
        <v>1764</v>
      </c>
    </row>
    <row r="179" spans="2:58" ht="75">
      <c r="B179">
        <v>183</v>
      </c>
      <c r="C179" t="s">
        <v>1112</v>
      </c>
      <c r="D179" t="s">
        <v>15</v>
      </c>
      <c r="E179" t="s">
        <v>1113</v>
      </c>
      <c r="G179" s="1" t="s">
        <v>1831</v>
      </c>
      <c r="H179" t="s">
        <v>16</v>
      </c>
      <c r="J179" t="s">
        <v>1114</v>
      </c>
      <c r="K179" t="s">
        <v>1115</v>
      </c>
      <c r="L179" t="s">
        <v>1116</v>
      </c>
      <c r="M179" t="s">
        <v>1117</v>
      </c>
      <c r="S179" t="s">
        <v>1830</v>
      </c>
      <c r="W179" s="2">
        <v>45959</v>
      </c>
      <c r="Z179" s="2">
        <v>45976</v>
      </c>
      <c r="AA179" s="2">
        <v>45961</v>
      </c>
      <c r="AE179" s="2">
        <v>45968</v>
      </c>
      <c r="AJ179" s="2">
        <v>45959</v>
      </c>
    </row>
    <row r="180" spans="2:58" ht="112.5">
      <c r="B180">
        <v>184</v>
      </c>
      <c r="C180" t="s">
        <v>1105</v>
      </c>
      <c r="D180" t="s">
        <v>15</v>
      </c>
      <c r="E180" t="s">
        <v>1106</v>
      </c>
      <c r="G180" s="1" t="s">
        <v>1829</v>
      </c>
      <c r="H180" t="s">
        <v>44</v>
      </c>
      <c r="J180" t="s">
        <v>1107</v>
      </c>
      <c r="K180" t="s">
        <v>1108</v>
      </c>
      <c r="L180" t="s">
        <v>1109</v>
      </c>
      <c r="M180" t="s">
        <v>1110</v>
      </c>
      <c r="N180" t="s">
        <v>1111</v>
      </c>
      <c r="P180" t="s">
        <v>1110</v>
      </c>
      <c r="W180" s="2">
        <v>45959</v>
      </c>
      <c r="Z180" s="2">
        <v>45962</v>
      </c>
      <c r="AA180" s="2">
        <v>45965</v>
      </c>
      <c r="AE180" s="2">
        <v>45965</v>
      </c>
      <c r="AJ180" s="2">
        <v>45967</v>
      </c>
    </row>
    <row r="181" spans="2:58" ht="100">
      <c r="B181">
        <v>185</v>
      </c>
      <c r="C181" t="s">
        <v>1118</v>
      </c>
      <c r="D181" t="s">
        <v>22</v>
      </c>
      <c r="E181" t="s">
        <v>1119</v>
      </c>
      <c r="G181" s="1" t="s">
        <v>1828</v>
      </c>
      <c r="H181" t="s">
        <v>50</v>
      </c>
      <c r="J181" t="s">
        <v>1120</v>
      </c>
      <c r="K181" t="s">
        <v>1121</v>
      </c>
      <c r="L181" t="s">
        <v>1122</v>
      </c>
      <c r="M181" t="s">
        <v>1123</v>
      </c>
      <c r="S181" t="s">
        <v>1827</v>
      </c>
      <c r="W181" s="2">
        <v>45959</v>
      </c>
      <c r="Z181" s="2">
        <v>45962</v>
      </c>
      <c r="AA181" s="2">
        <v>45967</v>
      </c>
      <c r="AE181" s="2">
        <v>45968</v>
      </c>
      <c r="AJ181" s="2">
        <v>45967</v>
      </c>
    </row>
    <row r="182" spans="2:58" ht="112.5">
      <c r="B182">
        <v>186</v>
      </c>
      <c r="C182" t="s">
        <v>1093</v>
      </c>
      <c r="D182" t="s">
        <v>15</v>
      </c>
      <c r="E182" t="s">
        <v>1094</v>
      </c>
      <c r="G182" s="1" t="s">
        <v>1826</v>
      </c>
      <c r="H182" t="s">
        <v>16</v>
      </c>
      <c r="J182" t="s">
        <v>1095</v>
      </c>
      <c r="K182" t="s">
        <v>1096</v>
      </c>
      <c r="L182" t="s">
        <v>1097</v>
      </c>
      <c r="M182" t="s">
        <v>1098</v>
      </c>
      <c r="S182" t="s">
        <v>1825</v>
      </c>
      <c r="V182" t="s">
        <v>1824</v>
      </c>
      <c r="W182" s="2">
        <v>45946</v>
      </c>
      <c r="Z182" s="2">
        <v>45948</v>
      </c>
      <c r="AA182" s="2">
        <v>45967</v>
      </c>
      <c r="AE182" s="2">
        <v>45968</v>
      </c>
      <c r="AJ182" s="2">
        <v>45967</v>
      </c>
    </row>
    <row r="183" spans="2:58" ht="87.5">
      <c r="B183">
        <v>187</v>
      </c>
      <c r="C183" t="s">
        <v>1124</v>
      </c>
      <c r="D183" t="s">
        <v>22</v>
      </c>
      <c r="E183" t="s">
        <v>1125</v>
      </c>
      <c r="G183" s="1" t="s">
        <v>1823</v>
      </c>
      <c r="H183" t="s">
        <v>114</v>
      </c>
      <c r="J183" t="s">
        <v>1126</v>
      </c>
      <c r="K183" t="s">
        <v>1127</v>
      </c>
      <c r="L183" t="s">
        <v>1128</v>
      </c>
      <c r="M183" t="s">
        <v>1129</v>
      </c>
      <c r="S183" t="s">
        <v>1822</v>
      </c>
      <c r="W183" s="2">
        <v>45974</v>
      </c>
      <c r="Z183" s="2">
        <v>45992</v>
      </c>
      <c r="AA183" s="2">
        <v>45981</v>
      </c>
      <c r="AE183" s="2">
        <v>45987</v>
      </c>
      <c r="AJ183" s="2">
        <v>45987</v>
      </c>
      <c r="BF183" t="s">
        <v>1821</v>
      </c>
    </row>
    <row r="184" spans="2:58" ht="87.5">
      <c r="B184">
        <v>188</v>
      </c>
      <c r="C184" t="s">
        <v>1040</v>
      </c>
      <c r="D184" t="s">
        <v>22</v>
      </c>
      <c r="E184" t="s">
        <v>1041</v>
      </c>
      <c r="G184" s="1" t="s">
        <v>1820</v>
      </c>
      <c r="H184" t="s">
        <v>16</v>
      </c>
      <c r="J184" t="s">
        <v>1042</v>
      </c>
      <c r="K184" t="s">
        <v>1043</v>
      </c>
      <c r="L184" t="s">
        <v>1044</v>
      </c>
      <c r="M184" t="s">
        <v>1045</v>
      </c>
      <c r="S184" t="s">
        <v>1819</v>
      </c>
      <c r="W184" s="2">
        <v>45974</v>
      </c>
      <c r="Z184" s="2">
        <v>46023</v>
      </c>
      <c r="AA184" s="2">
        <v>45981</v>
      </c>
      <c r="AE184" s="2">
        <v>46002</v>
      </c>
      <c r="AJ184" s="2">
        <v>46013</v>
      </c>
    </row>
    <row r="185" spans="2:58" ht="112.5">
      <c r="B185">
        <v>189</v>
      </c>
      <c r="C185" t="s">
        <v>1137</v>
      </c>
      <c r="D185" t="s">
        <v>15</v>
      </c>
      <c r="E185" t="s">
        <v>1138</v>
      </c>
      <c r="G185" s="1" t="s">
        <v>1818</v>
      </c>
      <c r="H185" t="s">
        <v>16</v>
      </c>
      <c r="J185" t="s">
        <v>1139</v>
      </c>
      <c r="K185" t="s">
        <v>1140</v>
      </c>
      <c r="L185" t="s">
        <v>1141</v>
      </c>
      <c r="M185" t="s">
        <v>1142</v>
      </c>
      <c r="N185" t="s">
        <v>1143</v>
      </c>
      <c r="O185" t="s">
        <v>1144</v>
      </c>
      <c r="P185" s="1" t="s">
        <v>1145</v>
      </c>
      <c r="V185" t="s">
        <v>1817</v>
      </c>
      <c r="Z185" s="2">
        <v>45992</v>
      </c>
      <c r="AA185" s="2">
        <v>46001</v>
      </c>
      <c r="AE185" s="2">
        <v>46002</v>
      </c>
      <c r="AJ185" s="2">
        <v>46009</v>
      </c>
    </row>
    <row r="186" spans="2:58">
      <c r="B186">
        <v>190</v>
      </c>
      <c r="C186" t="s">
        <v>1034</v>
      </c>
      <c r="D186" t="s">
        <v>15</v>
      </c>
      <c r="E186" t="s">
        <v>1035</v>
      </c>
      <c r="G186" t="s">
        <v>1816</v>
      </c>
      <c r="H186" t="s">
        <v>44</v>
      </c>
      <c r="J186" t="s">
        <v>1036</v>
      </c>
      <c r="K186" t="s">
        <v>1037</v>
      </c>
      <c r="L186" t="s">
        <v>1038</v>
      </c>
      <c r="M186" t="s">
        <v>1039</v>
      </c>
      <c r="S186" t="s">
        <v>1800</v>
      </c>
      <c r="V186" t="s">
        <v>1815</v>
      </c>
      <c r="W186" s="2">
        <v>45908</v>
      </c>
      <c r="Z186" s="2">
        <v>45992</v>
      </c>
      <c r="AA186" t="s">
        <v>1814</v>
      </c>
      <c r="AE186" s="2">
        <v>46007</v>
      </c>
      <c r="AJ186" s="2">
        <v>46009</v>
      </c>
    </row>
    <row r="187" spans="2:58" ht="75">
      <c r="B187">
        <v>191</v>
      </c>
      <c r="C187" s="1" t="s">
        <v>1813</v>
      </c>
      <c r="D187" t="s">
        <v>1074</v>
      </c>
      <c r="E187" t="s">
        <v>1075</v>
      </c>
      <c r="G187" s="1" t="s">
        <v>1812</v>
      </c>
      <c r="H187" t="s">
        <v>16</v>
      </c>
      <c r="J187" t="s">
        <v>1076</v>
      </c>
      <c r="K187" t="s">
        <v>1077</v>
      </c>
      <c r="M187" t="s">
        <v>1078</v>
      </c>
      <c r="N187" t="s">
        <v>1079</v>
      </c>
      <c r="P187" t="s">
        <v>1080</v>
      </c>
      <c r="S187" t="s">
        <v>1811</v>
      </c>
      <c r="W187" s="2">
        <v>45909</v>
      </c>
      <c r="Z187" s="2">
        <v>45931</v>
      </c>
      <c r="AA187" s="2">
        <v>46009</v>
      </c>
      <c r="AE187" s="2">
        <v>46009</v>
      </c>
      <c r="AJ187" s="2">
        <v>46009</v>
      </c>
    </row>
    <row r="188" spans="2:58" ht="62.5">
      <c r="B188">
        <v>192</v>
      </c>
      <c r="C188" t="s">
        <v>1130</v>
      </c>
      <c r="D188" t="s">
        <v>22</v>
      </c>
      <c r="E188" t="s">
        <v>1131</v>
      </c>
      <c r="G188" s="1" t="s">
        <v>1810</v>
      </c>
      <c r="H188" t="s">
        <v>260</v>
      </c>
      <c r="J188" t="s">
        <v>1132</v>
      </c>
      <c r="K188" t="s">
        <v>1133</v>
      </c>
      <c r="L188" t="s">
        <v>1134</v>
      </c>
      <c r="M188" t="s">
        <v>1135</v>
      </c>
      <c r="N188" t="s">
        <v>1135</v>
      </c>
      <c r="S188" t="s">
        <v>1800</v>
      </c>
      <c r="W188" s="2">
        <v>46003</v>
      </c>
      <c r="Z188" s="2">
        <v>45992</v>
      </c>
      <c r="AA188" s="2">
        <v>46013</v>
      </c>
      <c r="AE188" t="s">
        <v>1809</v>
      </c>
      <c r="AJ188" s="2">
        <v>46013</v>
      </c>
    </row>
    <row r="189" spans="2:58" ht="62.5">
      <c r="B189">
        <v>193</v>
      </c>
      <c r="C189" t="s">
        <v>1158</v>
      </c>
      <c r="D189" t="s">
        <v>1159</v>
      </c>
      <c r="E189" t="s">
        <v>1160</v>
      </c>
      <c r="G189" s="1" t="s">
        <v>1808</v>
      </c>
      <c r="H189" t="s">
        <v>85</v>
      </c>
      <c r="J189" t="s">
        <v>1161</v>
      </c>
      <c r="K189" t="s">
        <v>1162</v>
      </c>
      <c r="L189" t="s">
        <v>1163</v>
      </c>
      <c r="M189" t="s">
        <v>1164</v>
      </c>
      <c r="O189" t="s">
        <v>1165</v>
      </c>
      <c r="P189" t="s">
        <v>1166</v>
      </c>
      <c r="S189" t="s">
        <v>1807</v>
      </c>
      <c r="W189" s="2">
        <v>46003</v>
      </c>
      <c r="Z189" s="2">
        <v>46027</v>
      </c>
      <c r="AA189" s="2">
        <v>46013</v>
      </c>
      <c r="AE189" s="2">
        <v>46014</v>
      </c>
      <c r="AJ189" s="2">
        <v>46016</v>
      </c>
    </row>
    <row r="190" spans="2:58" ht="75">
      <c r="B190">
        <v>194</v>
      </c>
      <c r="C190" t="s">
        <v>1179</v>
      </c>
      <c r="D190" t="s">
        <v>15</v>
      </c>
      <c r="E190" t="s">
        <v>1180</v>
      </c>
      <c r="G190" s="1" t="s">
        <v>1806</v>
      </c>
      <c r="H190" t="s">
        <v>128</v>
      </c>
      <c r="J190" t="s">
        <v>1181</v>
      </c>
      <c r="K190">
        <v>287231122</v>
      </c>
      <c r="L190">
        <v>7084455698</v>
      </c>
      <c r="M190" t="s">
        <v>1182</v>
      </c>
      <c r="N190" t="s">
        <v>1182</v>
      </c>
      <c r="O190" t="s">
        <v>1183</v>
      </c>
      <c r="P190" t="s">
        <v>1184</v>
      </c>
      <c r="Z190" s="2">
        <v>46023</v>
      </c>
      <c r="AA190" s="2">
        <v>46013</v>
      </c>
      <c r="AE190" s="2">
        <v>46014</v>
      </c>
      <c r="AJ190" s="2">
        <v>46013</v>
      </c>
    </row>
    <row r="191" spans="2:58" ht="87.5">
      <c r="B191">
        <v>195</v>
      </c>
      <c r="C191" t="s">
        <v>1155</v>
      </c>
      <c r="D191" t="s">
        <v>15</v>
      </c>
      <c r="E191" t="s">
        <v>749</v>
      </c>
      <c r="G191" s="1" t="s">
        <v>1805</v>
      </c>
      <c r="H191" t="s">
        <v>114</v>
      </c>
      <c r="J191" t="s">
        <v>1156</v>
      </c>
      <c r="K191" t="s">
        <v>1157</v>
      </c>
      <c r="L191" t="s">
        <v>751</v>
      </c>
      <c r="M191" t="s">
        <v>752</v>
      </c>
      <c r="V191" t="s">
        <v>1804</v>
      </c>
      <c r="W191" s="2">
        <v>46003</v>
      </c>
      <c r="Z191" s="2">
        <v>45992</v>
      </c>
      <c r="AA191" s="2">
        <v>46009</v>
      </c>
      <c r="AE191" s="2">
        <v>46016</v>
      </c>
      <c r="AJ191" s="2">
        <v>46009</v>
      </c>
    </row>
    <row r="192" spans="2:58" ht="87.5">
      <c r="B192">
        <v>196</v>
      </c>
      <c r="C192" t="s">
        <v>1136</v>
      </c>
      <c r="D192" t="s">
        <v>15</v>
      </c>
      <c r="E192" t="s">
        <v>376</v>
      </c>
      <c r="G192" s="1" t="s">
        <v>1803</v>
      </c>
      <c r="H192" t="s">
        <v>16</v>
      </c>
      <c r="J192" t="s">
        <v>377</v>
      </c>
      <c r="M192" t="s">
        <v>379</v>
      </c>
      <c r="V192" t="s">
        <v>1802</v>
      </c>
      <c r="W192" s="2">
        <v>45988</v>
      </c>
      <c r="Z192" s="2">
        <v>46023</v>
      </c>
      <c r="AA192" s="2">
        <v>45988</v>
      </c>
      <c r="AE192" s="2">
        <v>46016</v>
      </c>
      <c r="AJ192" s="2">
        <v>46013</v>
      </c>
    </row>
    <row r="193" spans="2:58" ht="62.5">
      <c r="B193">
        <v>197</v>
      </c>
      <c r="C193" t="s">
        <v>1167</v>
      </c>
      <c r="D193" t="s">
        <v>22</v>
      </c>
      <c r="E193" t="s">
        <v>1168</v>
      </c>
      <c r="G193" s="1" t="s">
        <v>1801</v>
      </c>
      <c r="H193" t="s">
        <v>331</v>
      </c>
      <c r="J193" t="s">
        <v>1169</v>
      </c>
      <c r="K193" t="s">
        <v>1170</v>
      </c>
      <c r="L193" t="s">
        <v>1171</v>
      </c>
      <c r="M193" t="s">
        <v>1172</v>
      </c>
      <c r="S193" t="s">
        <v>1800</v>
      </c>
      <c r="W193" s="2">
        <v>46016</v>
      </c>
      <c r="Z193" s="2">
        <v>46029</v>
      </c>
      <c r="AA193" s="2">
        <v>46029</v>
      </c>
      <c r="AE193" s="2">
        <v>46029</v>
      </c>
      <c r="AJ193" t="s">
        <v>1799</v>
      </c>
    </row>
    <row r="194" spans="2:58" ht="75">
      <c r="B194">
        <v>198</v>
      </c>
      <c r="C194" t="s">
        <v>1185</v>
      </c>
      <c r="D194" t="s">
        <v>15</v>
      </c>
      <c r="E194" t="s">
        <v>1186</v>
      </c>
      <c r="G194" s="1" t="s">
        <v>1798</v>
      </c>
      <c r="H194" t="s">
        <v>189</v>
      </c>
      <c r="J194" t="s">
        <v>1187</v>
      </c>
      <c r="K194" t="s">
        <v>1188</v>
      </c>
      <c r="L194" t="s">
        <v>1189</v>
      </c>
      <c r="M194" t="s">
        <v>1190</v>
      </c>
      <c r="N194" t="s">
        <v>1190</v>
      </c>
      <c r="S194" t="s">
        <v>1797</v>
      </c>
      <c r="W194" s="2">
        <v>46029</v>
      </c>
      <c r="Z194" s="2">
        <v>46023</v>
      </c>
      <c r="AA194" s="2">
        <v>46037</v>
      </c>
      <c r="AE194" s="2">
        <v>46038</v>
      </c>
      <c r="AJ194" s="2">
        <v>46043</v>
      </c>
    </row>
    <row r="195" spans="2:58" ht="75">
      <c r="B195">
        <v>199</v>
      </c>
      <c r="C195" t="s">
        <v>1191</v>
      </c>
      <c r="D195" t="s">
        <v>22</v>
      </c>
      <c r="E195" t="s">
        <v>1192</v>
      </c>
      <c r="G195" s="1" t="s">
        <v>1796</v>
      </c>
      <c r="H195" t="s">
        <v>189</v>
      </c>
      <c r="J195" t="s">
        <v>1193</v>
      </c>
      <c r="K195" t="s">
        <v>1194</v>
      </c>
      <c r="L195" t="s">
        <v>1195</v>
      </c>
      <c r="M195" t="s">
        <v>1196</v>
      </c>
      <c r="W195" s="2">
        <v>46029</v>
      </c>
      <c r="Z195" s="2">
        <v>46023</v>
      </c>
      <c r="AA195" s="2">
        <v>46037</v>
      </c>
      <c r="AE195" s="2">
        <v>46038</v>
      </c>
      <c r="AJ195" s="2">
        <v>46043</v>
      </c>
      <c r="BF195" t="s">
        <v>1795</v>
      </c>
    </row>
    <row r="196" spans="2:58" ht="112.5">
      <c r="B196">
        <v>200</v>
      </c>
      <c r="C196" t="s">
        <v>1173</v>
      </c>
      <c r="D196" t="s">
        <v>22</v>
      </c>
      <c r="E196" t="s">
        <v>1174</v>
      </c>
      <c r="G196" s="1" t="s">
        <v>1794</v>
      </c>
      <c r="H196" t="s">
        <v>16</v>
      </c>
      <c r="J196" t="s">
        <v>1175</v>
      </c>
      <c r="K196" t="s">
        <v>1176</v>
      </c>
      <c r="L196" t="s">
        <v>1177</v>
      </c>
      <c r="M196" t="s">
        <v>1178</v>
      </c>
      <c r="S196" t="s">
        <v>1793</v>
      </c>
      <c r="W196" s="2">
        <v>46009</v>
      </c>
      <c r="X196" s="2">
        <v>46054</v>
      </c>
      <c r="Z196" s="2">
        <v>45689</v>
      </c>
      <c r="AA196" s="2">
        <v>46013</v>
      </c>
      <c r="AE196" s="2">
        <v>46048</v>
      </c>
      <c r="AJ196" s="2">
        <v>46043</v>
      </c>
    </row>
    <row r="197" spans="2:58" ht="75">
      <c r="B197">
        <v>201</v>
      </c>
      <c r="C197" t="s">
        <v>1197</v>
      </c>
      <c r="D197" t="s">
        <v>15</v>
      </c>
      <c r="E197" t="s">
        <v>1198</v>
      </c>
      <c r="G197" s="1" t="s">
        <v>1792</v>
      </c>
      <c r="H197" t="s">
        <v>331</v>
      </c>
      <c r="J197" t="s">
        <v>1199</v>
      </c>
      <c r="K197" t="s">
        <v>1200</v>
      </c>
      <c r="L197" t="s">
        <v>1201</v>
      </c>
      <c r="M197" t="s">
        <v>1202</v>
      </c>
      <c r="W197" s="2">
        <v>46035</v>
      </c>
      <c r="Z197" s="2">
        <v>46054</v>
      </c>
      <c r="AA197" s="2">
        <v>46045</v>
      </c>
      <c r="AE197" s="2">
        <v>46048</v>
      </c>
      <c r="AJ197" s="2">
        <v>46052</v>
      </c>
    </row>
    <row r="198" spans="2:58" ht="87.5">
      <c r="B198">
        <v>202</v>
      </c>
      <c r="C198" t="s">
        <v>1203</v>
      </c>
      <c r="D198" t="s">
        <v>22</v>
      </c>
      <c r="E198" t="s">
        <v>1204</v>
      </c>
      <c r="G198" s="1" t="s">
        <v>1791</v>
      </c>
      <c r="H198" t="s">
        <v>16</v>
      </c>
      <c r="J198" t="s">
        <v>1205</v>
      </c>
      <c r="K198" t="s">
        <v>1206</v>
      </c>
      <c r="L198" t="s">
        <v>1207</v>
      </c>
      <c r="M198" t="s">
        <v>1208</v>
      </c>
      <c r="S198" t="s">
        <v>1790</v>
      </c>
      <c r="W198" s="2">
        <v>46052</v>
      </c>
      <c r="Z198" s="2">
        <v>46054</v>
      </c>
      <c r="AA198" s="2">
        <v>46058</v>
      </c>
      <c r="AE198" s="2">
        <v>46058</v>
      </c>
      <c r="AJ198" s="2">
        <v>46059</v>
      </c>
    </row>
    <row r="199" spans="2:58" ht="75">
      <c r="B199">
        <v>203</v>
      </c>
      <c r="C199" t="s">
        <v>1209</v>
      </c>
      <c r="D199" t="s">
        <v>1210</v>
      </c>
      <c r="E199" t="s">
        <v>1211</v>
      </c>
      <c r="G199" s="1" t="s">
        <v>1789</v>
      </c>
      <c r="H199" t="s">
        <v>247</v>
      </c>
      <c r="J199" t="s">
        <v>1212</v>
      </c>
      <c r="K199" t="s">
        <v>1213</v>
      </c>
      <c r="L199" t="s">
        <v>1214</v>
      </c>
      <c r="M199" t="s">
        <v>1215</v>
      </c>
      <c r="O199" t="s">
        <v>1216</v>
      </c>
      <c r="S199" t="s">
        <v>1788</v>
      </c>
      <c r="W199" s="2">
        <v>46052</v>
      </c>
      <c r="Z199" s="2">
        <v>46054</v>
      </c>
      <c r="AA199" s="2">
        <v>46058</v>
      </c>
      <c r="AE199" s="2">
        <v>46058</v>
      </c>
      <c r="AJ199" s="2">
        <v>46059</v>
      </c>
    </row>
    <row r="200" spans="2:58" ht="75">
      <c r="B200">
        <v>204</v>
      </c>
      <c r="C200" t="s">
        <v>1217</v>
      </c>
      <c r="D200" t="s">
        <v>22</v>
      </c>
      <c r="E200" t="s">
        <v>1218</v>
      </c>
      <c r="G200" s="1" t="s">
        <v>1787</v>
      </c>
      <c r="H200" t="s">
        <v>114</v>
      </c>
      <c r="J200" t="s">
        <v>1219</v>
      </c>
      <c r="K200" t="s">
        <v>1220</v>
      </c>
      <c r="L200" t="s">
        <v>1221</v>
      </c>
      <c r="M200" t="s">
        <v>1222</v>
      </c>
      <c r="O200" t="s">
        <v>1223</v>
      </c>
      <c r="P200" t="s">
        <v>1224</v>
      </c>
      <c r="W200" s="2">
        <v>46059</v>
      </c>
      <c r="Z200" s="2">
        <v>46054</v>
      </c>
      <c r="AA200" s="2">
        <v>46069</v>
      </c>
      <c r="AE200" s="2">
        <v>46071</v>
      </c>
      <c r="AJ200" s="2">
        <v>46072</v>
      </c>
    </row>
    <row r="201" spans="2:58" ht="112.5">
      <c r="B201">
        <v>205</v>
      </c>
      <c r="C201" s="1" t="s">
        <v>1786</v>
      </c>
      <c r="D201" t="s">
        <v>15</v>
      </c>
      <c r="E201" t="s">
        <v>318</v>
      </c>
      <c r="F201" t="s">
        <v>1785</v>
      </c>
      <c r="G201" s="1" t="s">
        <v>1784</v>
      </c>
      <c r="H201" t="s">
        <v>319</v>
      </c>
      <c r="J201" t="s">
        <v>320</v>
      </c>
      <c r="K201" t="s">
        <v>321</v>
      </c>
      <c r="M201" s="1" t="s">
        <v>322</v>
      </c>
      <c r="T201" t="s">
        <v>20</v>
      </c>
      <c r="V201" t="s">
        <v>1783</v>
      </c>
      <c r="W201" t="s">
        <v>1782</v>
      </c>
      <c r="X201" t="s">
        <v>1781</v>
      </c>
      <c r="Z201" s="2">
        <v>45017</v>
      </c>
      <c r="AA201" s="2">
        <v>45020</v>
      </c>
      <c r="AB201" s="2">
        <v>45382</v>
      </c>
      <c r="AC201" t="s">
        <v>20</v>
      </c>
      <c r="AE201" t="s">
        <v>1780</v>
      </c>
      <c r="AG201" t="s">
        <v>1780</v>
      </c>
      <c r="AJ201" s="2">
        <v>45020</v>
      </c>
      <c r="AK201" s="2">
        <v>45020</v>
      </c>
      <c r="AL201" s="2">
        <v>45020</v>
      </c>
      <c r="AM201" s="2">
        <v>45020</v>
      </c>
      <c r="AN201" t="s">
        <v>1779</v>
      </c>
      <c r="AO201" t="s">
        <v>1778</v>
      </c>
      <c r="AP201" t="s">
        <v>1777</v>
      </c>
      <c r="AQ201" t="s">
        <v>20</v>
      </c>
      <c r="AR201" s="2">
        <v>45022</v>
      </c>
      <c r="AS201" t="s">
        <v>20</v>
      </c>
      <c r="AU201" t="s">
        <v>1776</v>
      </c>
      <c r="AV201" t="s">
        <v>1775</v>
      </c>
      <c r="AW201" s="2">
        <v>45443</v>
      </c>
      <c r="AX201" s="2">
        <v>45389</v>
      </c>
      <c r="AY201" s="2">
        <v>45390</v>
      </c>
      <c r="BF201" t="s">
        <v>1774</v>
      </c>
    </row>
    <row r="202" spans="2:58" ht="87.5">
      <c r="B202">
        <v>207</v>
      </c>
      <c r="C202" t="s">
        <v>1225</v>
      </c>
      <c r="D202" t="s">
        <v>22</v>
      </c>
      <c r="E202" t="s">
        <v>1226</v>
      </c>
      <c r="G202" s="1" t="s">
        <v>1773</v>
      </c>
      <c r="H202" t="s">
        <v>240</v>
      </c>
      <c r="K202" t="s">
        <v>1227</v>
      </c>
      <c r="L202" t="s">
        <v>1228</v>
      </c>
      <c r="M202" t="s">
        <v>1229</v>
      </c>
      <c r="N202" t="s">
        <v>1229</v>
      </c>
      <c r="O202" t="s">
        <v>1230</v>
      </c>
      <c r="P202" t="s">
        <v>1231</v>
      </c>
      <c r="W202" s="2">
        <v>46149</v>
      </c>
      <c r="Z202" s="2">
        <v>46149</v>
      </c>
      <c r="AA202" s="2">
        <v>46160</v>
      </c>
      <c r="AE202" t="s">
        <v>1772</v>
      </c>
    </row>
    <row r="203" spans="2:58" ht="75">
      <c r="B203" t="s">
        <v>1146</v>
      </c>
      <c r="C203" t="s">
        <v>1147</v>
      </c>
      <c r="D203" t="s">
        <v>1148</v>
      </c>
      <c r="E203" t="s">
        <v>1149</v>
      </c>
      <c r="G203" s="1" t="s">
        <v>1771</v>
      </c>
      <c r="H203" t="s">
        <v>50</v>
      </c>
      <c r="J203" t="s">
        <v>1150</v>
      </c>
      <c r="K203" t="s">
        <v>1151</v>
      </c>
      <c r="L203" t="s">
        <v>1152</v>
      </c>
      <c r="M203" t="s">
        <v>1153</v>
      </c>
      <c r="N203" t="s">
        <v>1153</v>
      </c>
      <c r="O203" t="s">
        <v>1154</v>
      </c>
      <c r="P203" t="s">
        <v>1153</v>
      </c>
      <c r="V203" t="s">
        <v>1770</v>
      </c>
      <c r="Z203" s="2">
        <v>45992</v>
      </c>
      <c r="AA203" s="2">
        <v>46001</v>
      </c>
      <c r="AE203" s="2">
        <v>46002</v>
      </c>
      <c r="AJ203" s="2">
        <v>46009</v>
      </c>
    </row>
    <row r="204" spans="2:58" ht="87.5">
      <c r="C204" s="1" t="s">
        <v>1769</v>
      </c>
      <c r="E204" t="s">
        <v>20</v>
      </c>
      <c r="F204" t="s">
        <v>1768</v>
      </c>
      <c r="H204" t="e">
        <v>#N/A</v>
      </c>
      <c r="J204" t="s">
        <v>1767</v>
      </c>
      <c r="M204" t="s">
        <v>1766</v>
      </c>
      <c r="Q204" t="s">
        <v>20</v>
      </c>
      <c r="R204" t="s">
        <v>20</v>
      </c>
      <c r="S204" t="s">
        <v>20</v>
      </c>
      <c r="U204" t="s">
        <v>20</v>
      </c>
      <c r="V204" t="s">
        <v>1765</v>
      </c>
      <c r="W204" t="s">
        <v>20</v>
      </c>
      <c r="Z204" t="s">
        <v>20</v>
      </c>
      <c r="AA204" t="s">
        <v>20</v>
      </c>
      <c r="AB204" t="s">
        <v>20</v>
      </c>
      <c r="AC204" t="s">
        <v>20</v>
      </c>
      <c r="AG204" t="s">
        <v>20</v>
      </c>
      <c r="AS204" t="s">
        <v>20</v>
      </c>
      <c r="AZ204" t="s">
        <v>1764</v>
      </c>
    </row>
    <row r="205" spans="2:58">
      <c r="D205" t="s">
        <v>15</v>
      </c>
      <c r="E205" t="s">
        <v>403</v>
      </c>
    </row>
    <row r="206" spans="2:58" ht="125">
      <c r="E206" s="1" t="s">
        <v>417</v>
      </c>
      <c r="M206" s="1" t="s">
        <v>418</v>
      </c>
      <c r="BF206" t="s">
        <v>1763</v>
      </c>
    </row>
    <row r="207" spans="2:58" ht="162.5">
      <c r="C207" s="1" t="s">
        <v>1762</v>
      </c>
      <c r="D207" t="s">
        <v>15</v>
      </c>
      <c r="E207" t="s">
        <v>547</v>
      </c>
      <c r="G207" s="1" t="s">
        <v>1761</v>
      </c>
      <c r="H207" t="s">
        <v>16</v>
      </c>
      <c r="J207" t="s">
        <v>548</v>
      </c>
      <c r="M207" t="s">
        <v>549</v>
      </c>
      <c r="U207" t="s">
        <v>1760</v>
      </c>
      <c r="V207" s="1" t="s">
        <v>1759</v>
      </c>
      <c r="W207" t="s">
        <v>20</v>
      </c>
      <c r="X207" t="s">
        <v>1758</v>
      </c>
      <c r="Z207" t="s">
        <v>20</v>
      </c>
      <c r="AA207" t="s">
        <v>20</v>
      </c>
      <c r="AB207" t="s">
        <v>20</v>
      </c>
      <c r="AC207" t="s">
        <v>20</v>
      </c>
      <c r="AE207" t="s">
        <v>1757</v>
      </c>
      <c r="AG207" t="s">
        <v>20</v>
      </c>
      <c r="AS207" t="s">
        <v>20</v>
      </c>
      <c r="BF207" t="s">
        <v>1756</v>
      </c>
    </row>
    <row r="208" spans="2:58">
      <c r="C208" t="s">
        <v>867</v>
      </c>
      <c r="E208" t="s">
        <v>868</v>
      </c>
      <c r="H208" t="e">
        <v>#N/A</v>
      </c>
      <c r="M208" t="s">
        <v>869</v>
      </c>
      <c r="U208" t="s">
        <v>1755</v>
      </c>
      <c r="V208" t="s">
        <v>1754</v>
      </c>
    </row>
  </sheetData>
  <autoFilter ref="A3:BL3" xr:uid="{2EEFCFF7-A01D-49B1-BC14-BF5BA13CC2FE}">
    <sortState xmlns:xlrd2="http://schemas.microsoft.com/office/spreadsheetml/2017/richdata2" ref="A4:BL208">
      <sortCondition ref="B3"/>
    </sortState>
  </autoFilter>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3</vt:i4>
      </vt:variant>
    </vt:vector>
  </HeadingPairs>
  <TitlesOfParts>
    <vt:vector size="3" baseType="lpstr">
      <vt:lpstr>契約病院リスト</vt:lpstr>
      <vt:lpstr>手打ち請求書フォーマット</vt:lpstr>
      <vt:lpstr>元データ</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信義 阿比留</dc:creator>
  <cp:lastModifiedBy>信義 阿比留</cp:lastModifiedBy>
  <cp:lastPrinted>2026-06-02T05:47:39Z</cp:lastPrinted>
  <dcterms:created xsi:type="dcterms:W3CDTF">2026-05-29T05:36:29Z</dcterms:created>
  <dcterms:modified xsi:type="dcterms:W3CDTF">2026-06-03T06:13:48Z</dcterms:modified>
</cp:coreProperties>
</file>